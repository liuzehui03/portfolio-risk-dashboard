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Overview" sheetId="1" state="visible" r:id="rId3"/>
    <sheet name="Position PL Tracker" sheetId="2" state="visible" r:id="rId4"/>
    <sheet name="Attribution Analysis" sheetId="3" state="visible" r:id="rId5"/>
    <sheet name="Weekly Performance" sheetId="4" state="visible" r:id="rId6"/>
    <sheet name="Bond Analysis" sheetId="5" state="visible" r:id="rId7"/>
    <sheet name="Benchmark Calc" sheetId="6" state="visible" r:id="rId8"/>
    <sheet name="CAT Removal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<sst xmlns="http://schemas.openxmlformats.org/spreadsheetml/2006/main" count="381" uniqueCount="222">
  <si>
    <t xml:space="preserve">GPP2026 GROUP 4 — PORTFOLIO OVERVIEW &amp; KEY STATS (ex-CAT)</t>
  </si>
  <si>
    <t xml:space="preserve">SIMULATION SUMMARY</t>
  </si>
  <si>
    <t xml:space="preserve">Starting Value</t>
  </si>
  <si>
    <t xml:space="preserve">$100,000,000</t>
  </si>
  <si>
    <t xml:space="preserve">Portfolio Return (total)</t>
  </si>
  <si>
    <t xml:space="preserve">Starting Date</t>
  </si>
  <si>
    <t xml:space="preserve">28 Jun 2026</t>
  </si>
  <si>
    <t xml:space="preserve">Best Week</t>
  </si>
  <si>
    <t xml:space="preserve">7/31 → 8/7 (+$2.8M)</t>
  </si>
  <si>
    <t xml:space="preserve">End Date</t>
  </si>
  <si>
    <t xml:space="preserve">11 Sep 2026</t>
  </si>
  <si>
    <t xml:space="preserve">Worst Week</t>
  </si>
  <si>
    <t xml:space="preserve">7/10 → 7/17 (-$2.7M)</t>
  </si>
  <si>
    <t xml:space="preserve">Benchmark</t>
  </si>
  <si>
    <t xml:space="preserve">60/40 MSCI/Global Agg</t>
  </si>
  <si>
    <t xml:space="preserve">Top Contributor</t>
  </si>
  <si>
    <t xml:space="preserve">Team Role</t>
  </si>
  <si>
    <t xml:space="preserve">Macro/Fixed Income Analyst</t>
  </si>
  <si>
    <t xml:space="preserve">Largest Detractor</t>
  </si>
  <si>
    <t xml:space="preserve">Current Value</t>
  </si>
  <si>
    <t xml:space="preserve">Fixed Income Sleeve</t>
  </si>
  <si>
    <t xml:space="preserve">26.5% portfolio</t>
  </si>
  <si>
    <t xml:space="preserve">WEEKLY PORTFOLIO VALUE &amp; RETURN</t>
  </si>
  <si>
    <t xml:space="preserve">Friday</t>
  </si>
  <si>
    <t xml:space="preserve">Portfolio Value ($)</t>
  </si>
  <si>
    <t xml:space="preserve">Weekly Return</t>
  </si>
  <si>
    <t xml:space="preserve">Cumulative Return</t>
  </si>
  <si>
    <t xml:space="preserve">6/26/2026</t>
  </si>
  <si>
    <t xml:space="preserve">7/3/2026</t>
  </si>
  <si>
    <t xml:space="preserve">7/10/2026</t>
  </si>
  <si>
    <t xml:space="preserve">7/17/2026</t>
  </si>
  <si>
    <t xml:space="preserve">7/24/2026</t>
  </si>
  <si>
    <t xml:space="preserve">7/31/2026</t>
  </si>
  <si>
    <t xml:space="preserve">8/7/2026</t>
  </si>
  <si>
    <t xml:space="preserve">8/14/2026</t>
  </si>
  <si>
    <t xml:space="preserve">8/21/2026</t>
  </si>
  <si>
    <t xml:space="preserve">8/28/2026</t>
  </si>
  <si>
    <t xml:space="preserve">POSITION-LEVEL P/L TRACKER — ALL 10 FRIDAYS (Real StockTrak Data, ex-CAT)</t>
  </si>
  <si>
    <t xml:space="preserve">Ticker</t>
  </si>
  <si>
    <t xml:space="preserve">Asset Class</t>
  </si>
  <si>
    <t xml:space="preserve">Weight</t>
  </si>
  <si>
    <t xml:space="preserve">P/L ($)</t>
  </si>
  <si>
    <t xml:space="preserve">P/L %</t>
  </si>
  <si>
    <t xml:space="preserve">AAPL</t>
  </si>
  <si>
    <t xml:space="preserve">Equity</t>
  </si>
  <si>
    <t xml:space="preserve">—</t>
  </si>
  <si>
    <t xml:space="preserve">MSFT</t>
  </si>
  <si>
    <t xml:space="preserve">MU</t>
  </si>
  <si>
    <t xml:space="preserve">DAL</t>
  </si>
  <si>
    <t xml:space="preserve">WMT</t>
  </si>
  <si>
    <t xml:space="preserve">IAG</t>
  </si>
  <si>
    <t xml:space="preserve">SPY</t>
  </si>
  <si>
    <t xml:space="preserve">Equity ETF</t>
  </si>
  <si>
    <t xml:space="preserve">VT</t>
  </si>
  <si>
    <t xml:space="preserve">SPCX</t>
  </si>
  <si>
    <t xml:space="preserve">EEM</t>
  </si>
  <si>
    <t xml:space="preserve">XLV</t>
  </si>
  <si>
    <t xml:space="preserve">Sector ETF</t>
  </si>
  <si>
    <t xml:space="preserve">XLF</t>
  </si>
  <si>
    <t xml:space="preserve">VGIT</t>
  </si>
  <si>
    <t xml:space="preserve">Fixed Income</t>
  </si>
  <si>
    <t xml:space="preserve">VTIP</t>
  </si>
  <si>
    <t xml:space="preserve">JPIE</t>
  </si>
  <si>
    <t xml:space="preserve">MINT</t>
  </si>
  <si>
    <t xml:space="preserve">TOTAL</t>
  </si>
  <si>
    <t xml:space="preserve">RETURN ATTRIBUTION — CONTRIBUTION IN BASIS POINTS (bps) — ex-CAT</t>
  </si>
  <si>
    <t xml:space="preserve">Ticker / Metric</t>
  </si>
  <si>
    <t xml:space="preserve">6/26</t>
  </si>
  <si>
    <t xml:space="preserve">7/3</t>
  </si>
  <si>
    <t xml:space="preserve">7/10</t>
  </si>
  <si>
    <t xml:space="preserve">7/17</t>
  </si>
  <si>
    <t xml:space="preserve">7/24</t>
  </si>
  <si>
    <t xml:space="preserve">7/31</t>
  </si>
  <si>
    <t xml:space="preserve">8/7</t>
  </si>
  <si>
    <t xml:space="preserve">8/14</t>
  </si>
  <si>
    <t xml:space="preserve">8/21</t>
  </si>
  <si>
    <t xml:space="preserve">8/28</t>
  </si>
  <si>
    <t xml:space="preserve">EQUITY TOTAL</t>
  </si>
  <si>
    <t xml:space="preserve">FIXED INCOME TOTAL</t>
  </si>
  <si>
    <t xml:space="preserve">PORTFOLIO TOTAL</t>
  </si>
  <si>
    <t xml:space="preserve">Best Contributor</t>
  </si>
  <si>
    <t xml:space="preserve">Worst Contributor</t>
  </si>
  <si>
    <t xml:space="preserve">WEEKLY PERFORMANCE vs BENCHMARK — SHARPE &amp; INFORMATION RATIO</t>
  </si>
  <si>
    <t xml:space="preserve">FILL IN BENCHMARK RETURNS (col E) FROM YAHOO FINANCE EACH FRIDAY</t>
  </si>
  <si>
    <t xml:space="preserve">📋  Formula: Benchmark = 0.60 × VT weekly return + 0.40 × VGIT weekly return  |  Copy from Tab 'Benchmark Calc'</t>
  </si>
  <si>
    <t xml:space="preserve">#</t>
  </si>
  <si>
    <t xml:space="preserve">Portfolio Return</t>
  </si>
  <si>
    <t xml:space="preserve">Benchmark Return</t>
  </si>
  <si>
    <t xml:space="preserve">Active Return (bps)</t>
  </si>
  <si>
    <t xml:space="preserve">Cumulative Port Return</t>
  </si>
  <si>
    <t xml:space="preserve">Cumulative Bench Return</t>
  </si>
  <si>
    <t xml:space="preserve">[fill]</t>
  </si>
  <si>
    <t xml:space="preserve">SHARPE RATIO &amp; INFORMATION RATIO (25% each of grade)</t>
  </si>
  <si>
    <t xml:space="preserve">Sharpe Ratio</t>
  </si>
  <si>
    <t xml:space="preserve">Target: &gt;0.5 good, &gt;1.0 excellent</t>
  </si>
  <si>
    <t xml:space="preserve">Information Ratio</t>
  </si>
  <si>
    <t xml:space="preserve">Hit Rate</t>
  </si>
  <si>
    <t xml:space="preserve">% weeks beating benchmark</t>
  </si>
  <si>
    <t xml:space="preserve">Total since inception</t>
  </si>
  <si>
    <t xml:space="preserve">vs SPY (fill in)</t>
  </si>
  <si>
    <t xml:space="preserve">[fill SPY %]</t>
  </si>
  <si>
    <t xml:space="preserve">Pull from Yahoo Finance</t>
  </si>
  <si>
    <t xml:space="preserve">FIXED INCOME SLEEVE ANALYSIS — PRE-TRADE RATIONALE &amp; POST-TRADE TRACKING</t>
  </si>
  <si>
    <t xml:space="preserve">BOND SELECTION SCREEN — ALTERNATIVES CONSIDERED</t>
  </si>
  <si>
    <t xml:space="preserve">ETF</t>
  </si>
  <si>
    <t xml:space="preserve">Duration (yrs)</t>
  </si>
  <si>
    <t xml:space="preserve">Yield</t>
  </si>
  <si>
    <t xml:space="preserve">Decision</t>
  </si>
  <si>
    <t xml:space="preserve">Key Reason</t>
  </si>
  <si>
    <t xml:space="preserve">TLT</t>
  </si>
  <si>
    <t xml:space="preserve">~20yr</t>
  </si>
  <si>
    <t xml:space="preserve">4.80%</t>
  </si>
  <si>
    <t xml:space="preserve">❌ REJECTED</t>
  </si>
  <si>
    <t xml:space="preserve">Too much duration risk — +200bps shock = -40% loss</t>
  </si>
  <si>
    <t xml:space="preserve">BND</t>
  </si>
  <si>
    <t xml:space="preserve">~6.5yr</t>
  </si>
  <si>
    <t xml:space="preserve">4.50%</t>
  </si>
  <si>
    <t xml:space="preserve">Duration too high for hawkish Fed thesis</t>
  </si>
  <si>
    <t xml:space="preserve">AGG</t>
  </si>
  <si>
    <t xml:space="preserve">~6.2yr</t>
  </si>
  <si>
    <t xml:space="preserve">4.45%</t>
  </si>
  <si>
    <t xml:space="preserve">Same issue as BND</t>
  </si>
  <si>
    <t xml:space="preserve">HYG</t>
  </si>
  <si>
    <t xml:space="preserve">~4yr</t>
  </si>
  <si>
    <t xml:space="preserve">7.20%</t>
  </si>
  <si>
    <t xml:space="preserve">Too much credit risk, spreads near cycle tights</t>
  </si>
  <si>
    <t xml:space="preserve">5.2yr</t>
  </si>
  <si>
    <t xml:space="preserve">4.30%</t>
  </si>
  <si>
    <t xml:space="preserve">✅ SELECTED</t>
  </si>
  <si>
    <t xml:space="preserve">Core Treasury carry, moderate duration, rate plateau</t>
  </si>
  <si>
    <t xml:space="preserve">2.6yr</t>
  </si>
  <si>
    <t xml:space="preserve">2.1% real</t>
  </si>
  <si>
    <t xml:space="preserve">PCE 4.1% &gt;&gt; 2.5% breakeven — market underpricing inflation</t>
  </si>
  <si>
    <t xml:space="preserve">3.8yr</t>
  </si>
  <si>
    <t xml:space="preserve">5.80%</t>
  </si>
  <si>
    <t xml:space="preserve">142bps spread pickup, active mgmt, short duration</t>
  </si>
  <si>
    <t xml:space="preserve">0.35yr</t>
  </si>
  <si>
    <t xml:space="preserve">4.40%</t>
  </si>
  <si>
    <t xml:space="preserve">Near-zero rate risk, captures Fed funds rate, liquidity buffer</t>
  </si>
  <si>
    <t xml:space="preserve">BOND SLEEVE — POST-TRADE THESIS TRACKER</t>
  </si>
  <si>
    <t xml:space="preserve">Indicator</t>
  </si>
  <si>
    <t xml:space="preserve">At Purchase (Jun 28)</t>
  </si>
  <si>
    <t xml:space="preserve">Latest (Aug 28)</t>
  </si>
  <si>
    <t xml:space="preserve">Direction</t>
  </si>
  <si>
    <t xml:space="preserve">Thesis Holding?</t>
  </si>
  <si>
    <t xml:space="preserve">Fed Funds Rate</t>
  </si>
  <si>
    <t xml:space="preserve">3.50–3.75% (Warsh hawkish)</t>
  </si>
  <si>
    <t xml:space="preserve">3.50–3.75% (on hold)</t>
  </si>
  <si>
    <t xml:space="preserve">→ Unchanged</t>
  </si>
  <si>
    <t xml:space="preserve">✅ Yes — rates stayed high</t>
  </si>
  <si>
    <t xml:space="preserve">10Y UST Yield</t>
  </si>
  <si>
    <t xml:space="preserve">~4.40%</t>
  </si>
  <si>
    <t xml:space="preserve">4.72% (+32bps)</t>
  </si>
  <si>
    <t xml:space="preserve">↑ Higher</t>
  </si>
  <si>
    <t xml:space="preserve">✅ Yes — validates short duration</t>
  </si>
  <si>
    <t xml:space="preserve">PCE Inflation</t>
  </si>
  <si>
    <t xml:space="preserve">4.1%</t>
  </si>
  <si>
    <t xml:space="preserve">~3.8% (sticky)</t>
  </si>
  <si>
    <t xml:space="preserve">→ Elevated</t>
  </si>
  <si>
    <t xml:space="preserve">✅ Yes — VTIP thesis intact</t>
  </si>
  <si>
    <t xml:space="preserve">Breakeven Inflation</t>
  </si>
  <si>
    <t xml:space="preserve">~2.5%</t>
  </si>
  <si>
    <t xml:space="preserve">✅ Yes — gap to PCE still 130bps+</t>
  </si>
  <si>
    <t xml:space="preserve">IG Credit Spread</t>
  </si>
  <si>
    <t xml:space="preserve">~130bps</t>
  </si>
  <si>
    <t xml:space="preserve">~142bps</t>
  </si>
  <si>
    <t xml:space="preserve">↑ Wider</t>
  </si>
  <si>
    <t xml:space="preserve">✅ Yes — JPIE spread still compensates</t>
  </si>
  <si>
    <t xml:space="preserve">VGIT Price Impact</t>
  </si>
  <si>
    <t xml:space="preserve">-1.57% (-$157K)</t>
  </si>
  <si>
    <t xml:space="preserve">↓ Down</t>
  </si>
  <si>
    <t xml:space="preserve">✅ Expected — rate rise caused drop</t>
  </si>
  <si>
    <t xml:space="preserve">MINT performance</t>
  </si>
  <si>
    <t xml:space="preserve">0.00% (flat)</t>
  </si>
  <si>
    <t xml:space="preserve">→ Stable</t>
  </si>
  <si>
    <t xml:space="preserve">✅ Yes — near-zero duration worked</t>
  </si>
  <si>
    <t xml:space="preserve">Short duration thesis</t>
  </si>
  <si>
    <t xml:space="preserve">Hypothesis</t>
  </si>
  <si>
    <t xml:space="preserve">Confirmed</t>
  </si>
  <si>
    <t xml:space="preserve">✓ Validated</t>
  </si>
  <si>
    <t xml:space="preserve">✅ vs TLT which fell ~6.4%</t>
  </si>
  <si>
    <t xml:space="preserve">BENCHMARK RETURN CALCULATOR — 60% VT + 40% VGIT</t>
  </si>
  <si>
    <t xml:space="preserve">Benchmark = 60% MSCI World + 40% Bloomberg Global Agg  |  Proxy: 60% VT + 40% VGIT  |  Fill VT and VGIT weekly returns from Yahoo Finance each Friday → copy col E to Weekly Performance tab col E</t>
  </si>
  <si>
    <t xml:space="preserve">VT Return</t>
  </si>
  <si>
    <t xml:space="preserve">VGIT Return</t>
  </si>
  <si>
    <t xml:space="preserve">Benchmark (60/40)</t>
  </si>
  <si>
    <t xml:space="preserve">→ Copy to Weekly Perf col E</t>
  </si>
  <si>
    <t xml:space="preserve">[fill %]</t>
  </si>
  <si>
    <t xml:space="preserve">→ Copy to 'Weekly Performance'!E10</t>
  </si>
  <si>
    <t xml:space="preserve">→ Copy to 'Weekly Performance'!E11</t>
  </si>
  <si>
    <t xml:space="preserve">→ Copy to 'Weekly Performance'!E12</t>
  </si>
  <si>
    <t xml:space="preserve">→ Copy to 'Weekly Performance'!E13</t>
  </si>
  <si>
    <t xml:space="preserve">→ Copy to 'Weekly Performance'!E14</t>
  </si>
  <si>
    <t xml:space="preserve">→ Copy to 'Weekly Performance'!E15</t>
  </si>
  <si>
    <t xml:space="preserve">→ Copy to 'Weekly Performance'!E16</t>
  </si>
  <si>
    <t xml:space="preserve">→ Copy to 'Weekly Performance'!E17</t>
  </si>
  <si>
    <t xml:space="preserve">→ Copy to 'Weekly Performance'!E18</t>
  </si>
  <si>
    <t xml:space="preserve">→ Copy to 'Weekly Performance'!E19</t>
  </si>
  <si>
    <t xml:space="preserve">CAT REMOVAL LOG — CHANGES vs GPP2026_Complete_Analysis.xlsx (original, 30 Aug 2026)</t>
  </si>
  <si>
    <t xml:space="preserve">WHAT CHANGED</t>
  </si>
  <si>
    <t xml:space="preserve">Position PL Tracker</t>
  </si>
  <si>
    <t xml:space="preserve">CAT row deleted (was 4.0% weight, -$818,000 / -20.35% at 8/28). TOTAL row is now SUM / SUMPRODUCT formulas instead of typed numbers. Weight total added in C20.</t>
  </si>
  <si>
    <t xml:space="preserve">SPY weight set to 14.0% (original file had 10%). The live SharePoint copy shows 14.0%, and SPY's P/L % column only reconciles with a $14M cost basis.</t>
  </si>
  <si>
    <t xml:space="preserve">Attribution Analysis</t>
  </si>
  <si>
    <t xml:space="preserve">CAT row deleted. Every bps cell is now a formula: weight × P/L % × 10,000 from the tracker. Equity / Fixed Income / Portfolio totals are SUMs. Best and Worst contributor are INDEX/MATCH on P/L %.</t>
  </si>
  <si>
    <t xml:space="preserve">Portfolio Overview</t>
  </si>
  <si>
    <t xml:space="preserve">Weekly Portfolio Value = original StockTrak value minus CAT's P/L that week (see table below). Current Value, total return, Top Contributor and Largest Detractor are formulas.</t>
  </si>
  <si>
    <t xml:space="preserve">Weekly Performance</t>
  </si>
  <si>
    <t xml:space="preserve">Portfolio Value column now links to Portfolio Overview, so Sharpe, cumulative return etc. follow the ex-CAT values.</t>
  </si>
  <si>
    <t xml:space="preserve">Bond Analysis / Benchmark Calc</t>
  </si>
  <si>
    <t xml:space="preserve">Unchanged.</t>
  </si>
  <si>
    <t xml:space="preserve">ASSUMPTION</t>
  </si>
  <si>
    <t xml:space="preserve">If CAT had never been bought, its $4M would have sat in cash earning nothing, so each week's portfolio value falls by exactly CAT's cumulative P/L on that Friday. Cash interest on the $4M is ignored.</t>
  </si>
  <si>
    <t xml:space="preserve">WEEKLY RECONCILIATION — ORIGINAL vs ex-CAT</t>
  </si>
  <si>
    <t xml:space="preserve">Original Portfolio Value ($)</t>
  </si>
  <si>
    <t xml:space="preserve">CAT P/L ($)</t>
  </si>
  <si>
    <t xml:space="preserve">ex-CAT Portfolio Value ($)</t>
  </si>
  <si>
    <t xml:space="preserve">Original Position P/L ($)</t>
  </si>
  <si>
    <t xml:space="preserve">ex-CAT Position P/L ($)</t>
  </si>
  <si>
    <t xml:space="preserve">Original Attribution (bps)</t>
  </si>
  <si>
    <t xml:space="preserve">ex-CAT Attribution (bps)</t>
  </si>
  <si>
    <t xml:space="preserve">Blue = typed from the original workbook (inputs). Green = links to the ex-CAT sheets. Black = formulas. CAT was not held on 6/26, so its P/L that week is $0.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</si>
</sst>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\$#,##0"/>
    <numFmt numFmtId="167" formatCode="0.000%"/>
    <numFmt numFmtId="168" formatCode="0.0%"/>
    <numFmt numFmtId="169" formatCode="0.0&quot;bps&quot;"/>
    <numFmt numFmtId="170" formatCode="0.00\x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AAAAAA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B050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sz val="10"/>
      <color rgb="FF00B05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4B942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C00000"/>
      </font>
    </dxf>
    <dxf>
      <font>
        <color rgb="FF00B050"/>
      </font>
    </dxf>
    <dxf>
      <font>
        <color rgb="FFAAAAAA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4B942"/>
      <rgbColor rgb="FFFF9900"/>
      <rgbColor rgb="FFFF6600"/>
      <rgbColor rgb="FF666666"/>
      <rgbColor rgb="FFAAAAAA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2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27.75" hidden="false" customHeight="true" outlineLevel="0" collapsed="false">
      <c r="A3" s="3" t="s">
        <v>1</v>
      </c>
      <c r="B3" s="3"/>
      <c r="C3" s="3"/>
      <c r="D3" s="3"/>
    </row>
    <row r="4" customFormat="false" ht="23.25" hidden="false" customHeight="true" outlineLevel="0" collapsed="false">
      <c r="A4" s="4" t="s">
        <v>2</v>
      </c>
      <c r="B4" s="5" t="s">
        <v>3</v>
      </c>
      <c r="C4" s="4" t="s">
        <v>4</v>
      </c>
      <c r="D4" s="6" t="n">
        <f aca="false">(B22-100000000)/100000000</f>
        <v>0.0291011</v>
      </c>
    </row>
    <row r="5" customFormat="false" ht="15" hidden="false" customHeight="true" outlineLevel="0" collapsed="false">
      <c r="A5" s="7" t="s">
        <v>5</v>
      </c>
      <c r="B5" s="8" t="s">
        <v>6</v>
      </c>
      <c r="C5" s="7" t="s">
        <v>7</v>
      </c>
      <c r="D5" s="8" t="s">
        <v>8</v>
      </c>
    </row>
    <row r="6" customFormat="false" ht="15" hidden="false" customHeight="true" outlineLevel="0" collapsed="false">
      <c r="A6" s="4" t="s">
        <v>9</v>
      </c>
      <c r="B6" s="5" t="s">
        <v>10</v>
      </c>
      <c r="C6" s="4" t="s">
        <v>11</v>
      </c>
      <c r="D6" s="5" t="s">
        <v>12</v>
      </c>
    </row>
    <row r="7" customFormat="false" ht="23.25" hidden="false" customHeight="true" outlineLevel="0" collapsed="false">
      <c r="A7" s="7" t="s">
        <v>13</v>
      </c>
      <c r="B7" s="8" t="s">
        <v>14</v>
      </c>
      <c r="C7" s="7" t="s">
        <v>15</v>
      </c>
      <c r="D7" s="9" t="str">
        <f aca="false">'Attribution Analysis'!K24</f>
        <v>MSFT (35.77%)</v>
      </c>
    </row>
    <row r="8" customFormat="false" ht="23.25" hidden="false" customHeight="true" outlineLevel="0" collapsed="false">
      <c r="A8" s="4" t="s">
        <v>16</v>
      </c>
      <c r="B8" s="5" t="s">
        <v>17</v>
      </c>
      <c r="C8" s="4" t="s">
        <v>18</v>
      </c>
      <c r="D8" s="10" t="str">
        <f aca="false">'Attribution Analysis'!K26</f>
        <v>WMT (-11.32%)</v>
      </c>
    </row>
    <row r="9" customFormat="false" ht="23.25" hidden="false" customHeight="true" outlineLevel="0" collapsed="false">
      <c r="A9" s="7" t="s">
        <v>19</v>
      </c>
      <c r="B9" s="11" t="n">
        <f aca="false">B22</f>
        <v>102910110</v>
      </c>
      <c r="C9" s="7" t="s">
        <v>20</v>
      </c>
      <c r="D9" s="8" t="s">
        <v>21</v>
      </c>
    </row>
    <row r="11" customFormat="false" ht="27.75" hidden="false" customHeight="true" outlineLevel="0" collapsed="false">
      <c r="A11" s="3" t="s">
        <v>22</v>
      </c>
      <c r="B11" s="3"/>
      <c r="C11" s="3"/>
      <c r="D11" s="3"/>
    </row>
    <row r="12" customFormat="false" ht="15" hidden="false" customHeight="true" outlineLevel="0" collapsed="false">
      <c r="A12" s="12" t="s">
        <v>23</v>
      </c>
      <c r="B12" s="12" t="s">
        <v>24</v>
      </c>
      <c r="C12" s="12" t="s">
        <v>25</v>
      </c>
      <c r="D12" s="12" t="s">
        <v>26</v>
      </c>
    </row>
    <row r="13" customFormat="false" ht="15" hidden="false" customHeight="true" outlineLevel="0" collapsed="false">
      <c r="A13" s="13" t="s">
        <v>27</v>
      </c>
      <c r="B13" s="14" t="n">
        <f aca="false">'CAT Removal Log'!D14</f>
        <v>100445907.73</v>
      </c>
      <c r="C13" s="15" t="n">
        <f aca="false">(B13-100000000)/100000000</f>
        <v>0.00445907730000004</v>
      </c>
      <c r="D13" s="15" t="n">
        <f aca="false">(B13-100000000)/100000000</f>
        <v>0.00445907730000004</v>
      </c>
    </row>
    <row r="14" customFormat="false" ht="15" hidden="false" customHeight="true" outlineLevel="0" collapsed="false">
      <c r="A14" s="16" t="s">
        <v>28</v>
      </c>
      <c r="B14" s="17" t="n">
        <f aca="false">'CAT Removal Log'!D15</f>
        <v>100736415.3</v>
      </c>
      <c r="C14" s="18" t="n">
        <f aca="false">(B14-B13)/B13</f>
        <v>0.00289217924916246</v>
      </c>
      <c r="D14" s="18" t="n">
        <f aca="false">(B14-100000000)/100000000</f>
        <v>0.00736415299999997</v>
      </c>
    </row>
    <row r="15" customFormat="false" ht="15" hidden="false" customHeight="true" outlineLevel="0" collapsed="false">
      <c r="A15" s="13" t="s">
        <v>29</v>
      </c>
      <c r="B15" s="14" t="n">
        <f aca="false">'CAT Removal Log'!D16</f>
        <v>100771209</v>
      </c>
      <c r="C15" s="15" t="n">
        <f aca="false">(B15-B14)/B14</f>
        <v>0.000345393469644368</v>
      </c>
      <c r="D15" s="15" t="n">
        <f aca="false">(B15-100000000)/100000000</f>
        <v>0.00771209</v>
      </c>
    </row>
    <row r="16" customFormat="false" ht="15" hidden="false" customHeight="true" outlineLevel="0" collapsed="false">
      <c r="A16" s="16" t="s">
        <v>30</v>
      </c>
      <c r="B16" s="17" t="n">
        <f aca="false">'CAT Removal Log'!D17</f>
        <v>98090804.66</v>
      </c>
      <c r="C16" s="18" t="n">
        <f aca="false">(B16-B15)/B15</f>
        <v>-0.0265989102105543</v>
      </c>
      <c r="D16" s="18" t="n">
        <f aca="false">(B16-100000000)/100000000</f>
        <v>-0.0190919534</v>
      </c>
    </row>
    <row r="17" customFormat="false" ht="15" hidden="false" customHeight="true" outlineLevel="0" collapsed="false">
      <c r="A17" s="13" t="s">
        <v>31</v>
      </c>
      <c r="B17" s="14" t="n">
        <f aca="false">'CAT Removal Log'!D18</f>
        <v>98978520</v>
      </c>
      <c r="C17" s="15" t="n">
        <f aca="false">(B17-B16)/B16</f>
        <v>0.00904993432439444</v>
      </c>
      <c r="D17" s="15" t="n">
        <f aca="false">(B17-100000000)/100000000</f>
        <v>-0.0102148</v>
      </c>
    </row>
    <row r="18" customFormat="false" ht="15" hidden="false" customHeight="true" outlineLevel="0" collapsed="false">
      <c r="A18" s="16" t="s">
        <v>32</v>
      </c>
      <c r="B18" s="17" t="n">
        <f aca="false">'CAT Removal Log'!D19</f>
        <v>100923640</v>
      </c>
      <c r="C18" s="18" t="n">
        <f aca="false">(B18-B17)/B17</f>
        <v>0.019651940643283</v>
      </c>
      <c r="D18" s="18" t="n">
        <f aca="false">(B18-100000000)/100000000</f>
        <v>0.0092364</v>
      </c>
    </row>
    <row r="19" customFormat="false" ht="15" hidden="false" customHeight="true" outlineLevel="0" collapsed="false">
      <c r="A19" s="13" t="s">
        <v>33</v>
      </c>
      <c r="B19" s="14" t="n">
        <f aca="false">'CAT Removal Log'!D20</f>
        <v>103697680</v>
      </c>
      <c r="C19" s="15" t="n">
        <f aca="false">(B19-B18)/B18</f>
        <v>0.0274865234745794</v>
      </c>
      <c r="D19" s="15" t="n">
        <f aca="false">(B19-100000000)/100000000</f>
        <v>0.0369768</v>
      </c>
    </row>
    <row r="20" customFormat="false" ht="15" hidden="false" customHeight="true" outlineLevel="0" collapsed="false">
      <c r="A20" s="16" t="s">
        <v>34</v>
      </c>
      <c r="B20" s="17" t="n">
        <f aca="false">'CAT Removal Log'!D21</f>
        <v>105174120</v>
      </c>
      <c r="C20" s="18" t="n">
        <f aca="false">(B20-B19)/B19</f>
        <v>0.0142379270201609</v>
      </c>
      <c r="D20" s="18" t="n">
        <f aca="false">(B20-100000000)/100000000</f>
        <v>0.0517412</v>
      </c>
    </row>
    <row r="21" customFormat="false" ht="15" hidden="false" customHeight="true" outlineLevel="0" collapsed="false">
      <c r="A21" s="13" t="s">
        <v>35</v>
      </c>
      <c r="B21" s="14" t="n">
        <f aca="false">'CAT Removal Log'!D22</f>
        <v>103154120</v>
      </c>
      <c r="C21" s="15" t="n">
        <f aca="false">(B21-B20)/B20</f>
        <v>-0.0192062457950682</v>
      </c>
      <c r="D21" s="15" t="n">
        <f aca="false">(B21-100000000)/100000000</f>
        <v>0.0315412</v>
      </c>
    </row>
    <row r="22" customFormat="false" ht="15" hidden="false" customHeight="true" outlineLevel="0" collapsed="false">
      <c r="A22" s="16" t="s">
        <v>36</v>
      </c>
      <c r="B22" s="17" t="n">
        <f aca="false">'CAT Removal Log'!D23</f>
        <v>102910110</v>
      </c>
      <c r="C22" s="18" t="n">
        <f aca="false">(B22-B21)/B21</f>
        <v>-0.00236548961883442</v>
      </c>
      <c r="D22" s="18" t="n">
        <f aca="false">(B22-100000000)/100000000</f>
        <v>0.0291011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23" min="4" style="1" width="12"/>
  </cols>
  <sheetData>
    <row r="1" customFormat="false" ht="27.75" hidden="false" customHeight="true" outlineLevel="0" collapsed="false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customFormat="false" ht="15" hidden="false" customHeight="true" outlineLevel="0" collapsed="false">
      <c r="A2" s="20" t="s">
        <v>38</v>
      </c>
      <c r="B2" s="20" t="s">
        <v>39</v>
      </c>
      <c r="C2" s="20" t="s">
        <v>40</v>
      </c>
      <c r="D2" s="21" t="s">
        <v>27</v>
      </c>
      <c r="E2" s="21"/>
      <c r="F2" s="21" t="s">
        <v>28</v>
      </c>
      <c r="G2" s="21"/>
      <c r="H2" s="21" t="s">
        <v>29</v>
      </c>
      <c r="I2" s="21"/>
      <c r="J2" s="21" t="s">
        <v>30</v>
      </c>
      <c r="K2" s="21"/>
      <c r="L2" s="21" t="s">
        <v>31</v>
      </c>
      <c r="M2" s="21"/>
      <c r="N2" s="21" t="s">
        <v>32</v>
      </c>
      <c r="O2" s="21"/>
      <c r="P2" s="21" t="s">
        <v>33</v>
      </c>
      <c r="Q2" s="21"/>
      <c r="R2" s="21" t="s">
        <v>34</v>
      </c>
      <c r="S2" s="21"/>
      <c r="T2" s="21" t="s">
        <v>35</v>
      </c>
      <c r="U2" s="21"/>
      <c r="V2" s="22" t="s">
        <v>36</v>
      </c>
      <c r="W2" s="22"/>
    </row>
    <row r="3" customFormat="false" ht="15" hidden="false" customHeight="true" outlineLevel="0" collapsed="false">
      <c r="A3" s="20"/>
      <c r="B3" s="20"/>
      <c r="C3" s="20"/>
      <c r="D3" s="12" t="s">
        <v>41</v>
      </c>
      <c r="E3" s="12" t="s">
        <v>42</v>
      </c>
      <c r="F3" s="12" t="s">
        <v>41</v>
      </c>
      <c r="G3" s="12" t="s">
        <v>42</v>
      </c>
      <c r="H3" s="12" t="s">
        <v>41</v>
      </c>
      <c r="I3" s="12" t="s">
        <v>42</v>
      </c>
      <c r="J3" s="12" t="s">
        <v>41</v>
      </c>
      <c r="K3" s="12" t="s">
        <v>42</v>
      </c>
      <c r="L3" s="12" t="s">
        <v>41</v>
      </c>
      <c r="M3" s="12" t="s">
        <v>42</v>
      </c>
      <c r="N3" s="12" t="s">
        <v>41</v>
      </c>
      <c r="O3" s="12" t="s">
        <v>42</v>
      </c>
      <c r="P3" s="12" t="s">
        <v>41</v>
      </c>
      <c r="Q3" s="12" t="s">
        <v>42</v>
      </c>
      <c r="R3" s="12" t="s">
        <v>41</v>
      </c>
      <c r="S3" s="12" t="s">
        <v>42</v>
      </c>
      <c r="T3" s="12" t="s">
        <v>41</v>
      </c>
      <c r="U3" s="12" t="s">
        <v>42</v>
      </c>
      <c r="V3" s="12" t="s">
        <v>41</v>
      </c>
      <c r="W3" s="12" t="s">
        <v>42</v>
      </c>
    </row>
    <row r="4" customFormat="false" ht="15" hidden="false" customHeight="true" outlineLevel="0" collapsed="false">
      <c r="A4" s="23" t="s">
        <v>43</v>
      </c>
      <c r="B4" s="24" t="s">
        <v>44</v>
      </c>
      <c r="C4" s="25" t="n">
        <v>0.05</v>
      </c>
      <c r="D4" s="26" t="s">
        <v>45</v>
      </c>
      <c r="E4" s="26" t="s">
        <v>45</v>
      </c>
      <c r="F4" s="27" t="n">
        <v>-33451.89</v>
      </c>
      <c r="G4" s="28" t="n">
        <v>-0.0066</v>
      </c>
      <c r="H4" s="29" t="n">
        <v>287777.75</v>
      </c>
      <c r="I4" s="30" t="n">
        <v>0.0566</v>
      </c>
      <c r="J4" s="29" t="n">
        <v>829114.84</v>
      </c>
      <c r="K4" s="30" t="n">
        <v>0.1633</v>
      </c>
      <c r="L4" s="29" t="n">
        <v>1031909.22</v>
      </c>
      <c r="M4" s="30" t="n">
        <v>0.2032</v>
      </c>
      <c r="N4" s="29" t="n">
        <v>1081941</v>
      </c>
      <c r="O4" s="30" t="n">
        <v>0.2131</v>
      </c>
      <c r="P4" s="29" t="n">
        <v>717351.42</v>
      </c>
      <c r="Q4" s="30" t="n">
        <v>0.1413</v>
      </c>
      <c r="R4" s="29" t="n">
        <v>789513.56</v>
      </c>
      <c r="S4" s="30" t="n">
        <v>0.1556</v>
      </c>
      <c r="T4" s="29" t="n">
        <v>672484.88</v>
      </c>
      <c r="U4" s="30" t="n">
        <v>0.1324</v>
      </c>
      <c r="V4" s="29" t="n">
        <v>580592.8</v>
      </c>
      <c r="W4" s="30" t="n">
        <v>0.1143</v>
      </c>
    </row>
    <row r="5" customFormat="false" ht="15" hidden="false" customHeight="true" outlineLevel="0" collapsed="false">
      <c r="A5" s="23" t="s">
        <v>46</v>
      </c>
      <c r="B5" s="24" t="s">
        <v>44</v>
      </c>
      <c r="C5" s="25" t="n">
        <v>0.06</v>
      </c>
      <c r="D5" s="26" t="s">
        <v>45</v>
      </c>
      <c r="E5" s="26" t="s">
        <v>45</v>
      </c>
      <c r="F5" s="29" t="n">
        <v>198133.86</v>
      </c>
      <c r="G5" s="30" t="n">
        <v>0.0324</v>
      </c>
      <c r="H5" s="29" t="n">
        <v>598999.47</v>
      </c>
      <c r="I5" s="30" t="n">
        <v>0.098</v>
      </c>
      <c r="J5" s="29" t="n">
        <v>251949.99</v>
      </c>
      <c r="K5" s="30" t="n">
        <v>0.0412</v>
      </c>
      <c r="L5" s="29" t="n">
        <v>978699.99</v>
      </c>
      <c r="M5" s="30" t="n">
        <v>0.16</v>
      </c>
      <c r="N5" s="29" t="n">
        <v>1192819.26</v>
      </c>
      <c r="O5" s="30" t="n">
        <v>0.1955</v>
      </c>
      <c r="P5" s="29" t="n">
        <v>1844163.46</v>
      </c>
      <c r="Q5" s="30" t="n">
        <v>0.3021</v>
      </c>
      <c r="R5" s="29" t="n">
        <v>1985726.32</v>
      </c>
      <c r="S5" s="30" t="n">
        <v>0.3252</v>
      </c>
      <c r="T5" s="29" t="n">
        <v>2106266.47</v>
      </c>
      <c r="U5" s="30" t="n">
        <v>0.3449</v>
      </c>
      <c r="V5" s="29" t="n">
        <v>2186583.3</v>
      </c>
      <c r="W5" s="30" t="n">
        <v>0.3577</v>
      </c>
    </row>
    <row r="6" customFormat="false" ht="15" hidden="false" customHeight="true" outlineLevel="0" collapsed="false">
      <c r="A6" s="23" t="s">
        <v>47</v>
      </c>
      <c r="B6" s="24" t="s">
        <v>44</v>
      </c>
      <c r="C6" s="25" t="n">
        <v>0.1</v>
      </c>
      <c r="D6" s="29" t="n">
        <v>95699.1</v>
      </c>
      <c r="E6" s="30" t="n">
        <v>0.0383</v>
      </c>
      <c r="F6" s="27" t="n">
        <v>-738024.2</v>
      </c>
      <c r="G6" s="28" t="n">
        <v>-0.0685</v>
      </c>
      <c r="H6" s="27" t="n">
        <v>-1771207.8</v>
      </c>
      <c r="I6" s="28" t="n">
        <v>-0.1644</v>
      </c>
      <c r="J6" s="27" t="n">
        <v>-2040841.1</v>
      </c>
      <c r="K6" s="28" t="n">
        <v>-0.1894</v>
      </c>
      <c r="L6" s="27" t="n">
        <v>-1491898.3</v>
      </c>
      <c r="M6" s="28" t="n">
        <v>-0.1384</v>
      </c>
      <c r="N6" s="27" t="n">
        <v>-1182667.4</v>
      </c>
      <c r="O6" s="28" t="n">
        <v>-0.1097</v>
      </c>
      <c r="P6" s="27" t="n">
        <v>-910668.7</v>
      </c>
      <c r="Q6" s="28" t="n">
        <v>-0.0845</v>
      </c>
      <c r="R6" s="27" t="n">
        <v>-813147.4</v>
      </c>
      <c r="S6" s="28" t="n">
        <v>-0.0755</v>
      </c>
      <c r="T6" s="27" t="n">
        <v>-1050226.3</v>
      </c>
      <c r="U6" s="28" t="n">
        <v>-0.0973</v>
      </c>
      <c r="V6" s="27" t="n">
        <v>-1177407.2</v>
      </c>
      <c r="W6" s="28" t="n">
        <v>-0.1093</v>
      </c>
    </row>
    <row r="7" customFormat="false" ht="15" hidden="false" customHeight="true" outlineLevel="0" collapsed="false">
      <c r="A7" s="23" t="s">
        <v>48</v>
      </c>
      <c r="B7" s="24" t="s">
        <v>44</v>
      </c>
      <c r="C7" s="25" t="n">
        <v>0.015</v>
      </c>
      <c r="D7" s="29" t="n">
        <v>105435.9</v>
      </c>
      <c r="E7" s="30" t="n">
        <v>0.0702</v>
      </c>
      <c r="F7" s="27" t="n">
        <v>-10593.3</v>
      </c>
      <c r="G7" s="28" t="n">
        <v>-0.0071</v>
      </c>
      <c r="H7" s="27" t="n">
        <v>-80770.5</v>
      </c>
      <c r="I7" s="28" t="n">
        <v>-0.0538</v>
      </c>
      <c r="J7" s="27" t="n">
        <v>-40472.1</v>
      </c>
      <c r="K7" s="28" t="n">
        <v>-0.0269</v>
      </c>
      <c r="L7" s="27" t="n">
        <v>-56123.1</v>
      </c>
      <c r="M7" s="28" t="n">
        <v>-0.0373</v>
      </c>
      <c r="N7" s="27" t="n">
        <v>-89976.6</v>
      </c>
      <c r="O7" s="28" t="n">
        <v>-0.0599</v>
      </c>
      <c r="P7" s="27" t="n">
        <v>-130389.3</v>
      </c>
      <c r="Q7" s="28" t="n">
        <v>-0.0868</v>
      </c>
      <c r="R7" s="27" t="n">
        <v>-114992.4</v>
      </c>
      <c r="S7" s="28" t="n">
        <v>-0.0766</v>
      </c>
      <c r="T7" s="27" t="n">
        <v>-110844.6</v>
      </c>
      <c r="U7" s="28" t="n">
        <v>-0.0738</v>
      </c>
      <c r="V7" s="27" t="n">
        <v>-111689.1</v>
      </c>
      <c r="W7" s="28" t="n">
        <v>-0.0743</v>
      </c>
    </row>
    <row r="8" customFormat="false" ht="15" hidden="false" customHeight="true" outlineLevel="0" collapsed="false">
      <c r="A8" s="23" t="s">
        <v>49</v>
      </c>
      <c r="B8" s="24" t="s">
        <v>44</v>
      </c>
      <c r="C8" s="25" t="n">
        <v>0.04</v>
      </c>
      <c r="D8" s="26" t="s">
        <v>45</v>
      </c>
      <c r="E8" s="26" t="s">
        <v>45</v>
      </c>
      <c r="F8" s="27" t="n">
        <v>-662665.6</v>
      </c>
      <c r="G8" s="28" t="n">
        <v>-0.1643</v>
      </c>
      <c r="H8" s="27" t="n">
        <v>-624053.6</v>
      </c>
      <c r="I8" s="28" t="n">
        <v>-0.1547</v>
      </c>
      <c r="J8" s="27" t="n">
        <v>-69626.4</v>
      </c>
      <c r="K8" s="28" t="n">
        <v>-0.0173</v>
      </c>
      <c r="L8" s="27" t="n">
        <v>-58561.6</v>
      </c>
      <c r="M8" s="28" t="n">
        <v>-0.0145</v>
      </c>
      <c r="N8" s="27" t="n">
        <v>-243253.4</v>
      </c>
      <c r="O8" s="28" t="n">
        <v>-0.0604</v>
      </c>
      <c r="P8" s="27" t="n">
        <v>-456739.2</v>
      </c>
      <c r="Q8" s="28" t="n">
        <v>-0.1134</v>
      </c>
      <c r="R8" s="27" t="n">
        <v>-385543.2</v>
      </c>
      <c r="S8" s="28" t="n">
        <v>-0.0957</v>
      </c>
      <c r="T8" s="27" t="n">
        <v>-412828.8</v>
      </c>
      <c r="U8" s="28" t="n">
        <v>-0.1025</v>
      </c>
      <c r="V8" s="27" t="n">
        <v>-455862.4</v>
      </c>
      <c r="W8" s="28" t="n">
        <v>-0.1132</v>
      </c>
    </row>
    <row r="9" customFormat="false" ht="15" hidden="false" customHeight="true" outlineLevel="0" collapsed="false">
      <c r="A9" s="23" t="s">
        <v>50</v>
      </c>
      <c r="B9" s="24" t="s">
        <v>44</v>
      </c>
      <c r="C9" s="25" t="n">
        <v>0.005</v>
      </c>
      <c r="D9" s="29" t="n">
        <v>11298</v>
      </c>
      <c r="E9" s="30" t="n">
        <v>0.0299</v>
      </c>
      <c r="F9" s="27" t="n">
        <v>-10491</v>
      </c>
      <c r="G9" s="28" t="n">
        <v>-0.0277</v>
      </c>
      <c r="H9" s="27" t="n">
        <v>-21789</v>
      </c>
      <c r="I9" s="28" t="n">
        <v>-0.0576</v>
      </c>
      <c r="J9" s="27" t="n">
        <v>-33636.36</v>
      </c>
      <c r="K9" s="28" t="n">
        <v>-0.0661</v>
      </c>
      <c r="L9" s="27" t="n">
        <v>-21789</v>
      </c>
      <c r="M9" s="28" t="n">
        <v>-0.0576</v>
      </c>
      <c r="N9" s="27" t="n">
        <v>-19368</v>
      </c>
      <c r="O9" s="28" t="n">
        <v>-0.0512</v>
      </c>
      <c r="P9" s="27" t="n">
        <v>-25824</v>
      </c>
      <c r="Q9" s="28" t="n">
        <v>-0.0683</v>
      </c>
      <c r="R9" s="27" t="n">
        <v>-22596</v>
      </c>
      <c r="S9" s="28" t="n">
        <v>-0.0597</v>
      </c>
      <c r="T9" s="27" t="n">
        <v>-24210</v>
      </c>
      <c r="U9" s="28" t="n">
        <v>-0.064</v>
      </c>
      <c r="V9" s="27" t="n">
        <v>-33311.17</v>
      </c>
      <c r="W9" s="28" t="n">
        <v>-0.0651</v>
      </c>
    </row>
    <row r="10" customFormat="false" ht="15" hidden="false" customHeight="true" outlineLevel="0" collapsed="false">
      <c r="A10" s="31" t="s">
        <v>51</v>
      </c>
      <c r="B10" s="5" t="s">
        <v>52</v>
      </c>
      <c r="C10" s="32" t="n">
        <v>0.14</v>
      </c>
      <c r="D10" s="33" t="n">
        <v>-148967.84</v>
      </c>
      <c r="E10" s="34" t="n">
        <v>-0.0106</v>
      </c>
      <c r="F10" s="35" t="n">
        <v>80754.25</v>
      </c>
      <c r="G10" s="36" t="n">
        <v>0.0058</v>
      </c>
      <c r="H10" s="35" t="n">
        <v>90064.74</v>
      </c>
      <c r="I10" s="36" t="n">
        <v>0.0064</v>
      </c>
      <c r="J10" s="35" t="n">
        <v>122746.46</v>
      </c>
      <c r="K10" s="36" t="n">
        <v>0.0088</v>
      </c>
      <c r="L10" s="35" t="n">
        <v>420881.16</v>
      </c>
      <c r="M10" s="36" t="n">
        <v>0.0301</v>
      </c>
      <c r="N10" s="35" t="n">
        <v>486438.43</v>
      </c>
      <c r="O10" s="36" t="n">
        <v>0.0347</v>
      </c>
      <c r="P10" s="35" t="n">
        <v>481708.34</v>
      </c>
      <c r="Q10" s="36" t="n">
        <v>0.0344</v>
      </c>
      <c r="R10" s="35" t="n">
        <v>598781.33</v>
      </c>
      <c r="S10" s="36" t="n">
        <v>0.0428</v>
      </c>
      <c r="T10" s="35" t="n">
        <v>366637.12</v>
      </c>
      <c r="U10" s="36" t="n">
        <v>0.0262</v>
      </c>
      <c r="V10" s="35" t="n">
        <v>617912.52</v>
      </c>
      <c r="W10" s="36" t="n">
        <v>0.0441</v>
      </c>
    </row>
    <row r="11" customFormat="false" ht="15" hidden="false" customHeight="true" outlineLevel="0" collapsed="false">
      <c r="A11" s="31" t="s">
        <v>53</v>
      </c>
      <c r="B11" s="5" t="s">
        <v>52</v>
      </c>
      <c r="C11" s="32" t="n">
        <v>0.1</v>
      </c>
      <c r="D11" s="37" t="s">
        <v>45</v>
      </c>
      <c r="E11" s="37" t="s">
        <v>45</v>
      </c>
      <c r="F11" s="35" t="n">
        <v>36064</v>
      </c>
      <c r="G11" s="36" t="n">
        <v>0.0036</v>
      </c>
      <c r="H11" s="35" t="n">
        <v>58616</v>
      </c>
      <c r="I11" s="36" t="n">
        <v>0.0059</v>
      </c>
      <c r="J11" s="33" t="n">
        <v>-12236</v>
      </c>
      <c r="K11" s="34" t="n">
        <v>-0.0012</v>
      </c>
      <c r="L11" s="35" t="n">
        <v>216628</v>
      </c>
      <c r="M11" s="36" t="n">
        <v>0.0217</v>
      </c>
      <c r="N11" s="35" t="n">
        <v>257680</v>
      </c>
      <c r="O11" s="36" t="n">
        <v>0.0258</v>
      </c>
      <c r="P11" s="35" t="n">
        <v>337880</v>
      </c>
      <c r="Q11" s="36" t="n">
        <v>0.0338</v>
      </c>
      <c r="R11" s="35" t="n">
        <v>444360</v>
      </c>
      <c r="S11" s="36" t="n">
        <v>0.0445</v>
      </c>
      <c r="T11" s="35" t="n">
        <v>345828</v>
      </c>
      <c r="U11" s="36" t="n">
        <v>0.0346</v>
      </c>
      <c r="V11" s="35" t="n">
        <v>388976</v>
      </c>
      <c r="W11" s="36" t="n">
        <v>0.039</v>
      </c>
    </row>
    <row r="12" customFormat="false" ht="15" hidden="false" customHeight="true" outlineLevel="0" collapsed="false">
      <c r="A12" s="31" t="s">
        <v>54</v>
      </c>
      <c r="B12" s="5" t="s">
        <v>52</v>
      </c>
      <c r="C12" s="32" t="n">
        <v>0.03</v>
      </c>
      <c r="D12" s="37" t="s">
        <v>45</v>
      </c>
      <c r="E12" s="37" t="s">
        <v>45</v>
      </c>
      <c r="F12" s="33" t="n">
        <v>-701478.96</v>
      </c>
      <c r="G12" s="34" t="n">
        <v>-0.227</v>
      </c>
      <c r="H12" s="33" t="n">
        <v>-713432.04</v>
      </c>
      <c r="I12" s="34" t="n">
        <v>-0.2308</v>
      </c>
      <c r="J12" s="33" t="n">
        <v>-652584.24</v>
      </c>
      <c r="K12" s="34" t="n">
        <v>-0.2111</v>
      </c>
      <c r="L12" s="33" t="n">
        <v>-564873.96</v>
      </c>
      <c r="M12" s="34" t="n">
        <v>-0.1827</v>
      </c>
      <c r="N12" s="33" t="n">
        <v>-591299.08</v>
      </c>
      <c r="O12" s="34" t="n">
        <v>-0.1913</v>
      </c>
      <c r="P12" s="33" t="n">
        <v>-474880.44</v>
      </c>
      <c r="Q12" s="34" t="n">
        <v>-0.1536</v>
      </c>
      <c r="R12" s="33" t="n">
        <v>-387889.64</v>
      </c>
      <c r="S12" s="34" t="n">
        <v>-0.1255</v>
      </c>
      <c r="T12" s="33" t="n">
        <v>-353023.96</v>
      </c>
      <c r="U12" s="34" t="n">
        <v>-0.1142</v>
      </c>
      <c r="V12" s="33" t="n">
        <v>-308197.56</v>
      </c>
      <c r="W12" s="34" t="n">
        <v>-0.0997</v>
      </c>
    </row>
    <row r="13" customFormat="false" ht="15" hidden="false" customHeight="true" outlineLevel="0" collapsed="false">
      <c r="A13" s="31" t="s">
        <v>55</v>
      </c>
      <c r="B13" s="5" t="s">
        <v>52</v>
      </c>
      <c r="C13" s="32" t="n">
        <v>0.03</v>
      </c>
      <c r="D13" s="37" t="s">
        <v>45</v>
      </c>
      <c r="E13" s="37" t="s">
        <v>45</v>
      </c>
      <c r="F13" s="33" t="n">
        <v>-56832</v>
      </c>
      <c r="G13" s="34" t="n">
        <v>-0.0191</v>
      </c>
      <c r="H13" s="33" t="n">
        <v>-167388</v>
      </c>
      <c r="I13" s="34" t="n">
        <v>-0.0563</v>
      </c>
      <c r="J13" s="33" t="n">
        <v>-163836</v>
      </c>
      <c r="K13" s="34" t="n">
        <v>-0.0551</v>
      </c>
      <c r="L13" s="33" t="n">
        <v>-136836</v>
      </c>
      <c r="M13" s="34" t="n">
        <v>-0.046</v>
      </c>
      <c r="N13" s="33" t="n">
        <v>-124764</v>
      </c>
      <c r="O13" s="34" t="n">
        <v>-0.0419</v>
      </c>
      <c r="P13" s="33" t="n">
        <v>-78144</v>
      </c>
      <c r="Q13" s="34" t="n">
        <v>-0.0263</v>
      </c>
      <c r="R13" s="33" t="n">
        <v>-24420</v>
      </c>
      <c r="S13" s="34" t="n">
        <v>-0.0082</v>
      </c>
      <c r="T13" s="33" t="n">
        <v>-124764</v>
      </c>
      <c r="U13" s="34" t="n">
        <v>-0.0419</v>
      </c>
      <c r="V13" s="33" t="n">
        <v>-163836</v>
      </c>
      <c r="W13" s="34" t="n">
        <v>-0.0551</v>
      </c>
    </row>
    <row r="14" customFormat="false" ht="15" hidden="false" customHeight="true" outlineLevel="0" collapsed="false">
      <c r="A14" s="38" t="s">
        <v>56</v>
      </c>
      <c r="B14" s="39" t="s">
        <v>57</v>
      </c>
      <c r="C14" s="40" t="n">
        <v>0.06</v>
      </c>
      <c r="D14" s="41" t="s">
        <v>45</v>
      </c>
      <c r="E14" s="41" t="s">
        <v>45</v>
      </c>
      <c r="F14" s="42" t="n">
        <v>154643.99</v>
      </c>
      <c r="G14" s="43" t="n">
        <v>0.0254</v>
      </c>
      <c r="H14" s="42" t="n">
        <v>169393.28</v>
      </c>
      <c r="I14" s="43" t="n">
        <v>0.0279</v>
      </c>
      <c r="J14" s="42" t="n">
        <v>6049.76</v>
      </c>
      <c r="K14" s="43" t="n">
        <v>0.001</v>
      </c>
      <c r="L14" s="42" t="n">
        <v>94945.61</v>
      </c>
      <c r="M14" s="43" t="n">
        <v>0.0156</v>
      </c>
      <c r="N14" s="42" t="n">
        <v>190945.55</v>
      </c>
      <c r="O14" s="43" t="n">
        <v>0.0314</v>
      </c>
      <c r="P14" s="42" t="n">
        <v>314587.52</v>
      </c>
      <c r="Q14" s="43" t="n">
        <v>0.0517</v>
      </c>
      <c r="R14" s="42" t="n">
        <v>363837.82</v>
      </c>
      <c r="S14" s="43" t="n">
        <v>0.0598</v>
      </c>
      <c r="T14" s="42" t="n">
        <v>338346.18</v>
      </c>
      <c r="U14" s="43" t="n">
        <v>0.0556</v>
      </c>
      <c r="V14" s="42" t="n">
        <v>386806.53</v>
      </c>
      <c r="W14" s="43" t="n">
        <v>0.0636</v>
      </c>
    </row>
    <row r="15" customFormat="false" ht="15" hidden="false" customHeight="true" outlineLevel="0" collapsed="false">
      <c r="A15" s="38" t="s">
        <v>58</v>
      </c>
      <c r="B15" s="39" t="s">
        <v>57</v>
      </c>
      <c r="C15" s="40" t="n">
        <v>0.05</v>
      </c>
      <c r="D15" s="41" t="s">
        <v>45</v>
      </c>
      <c r="E15" s="41" t="s">
        <v>45</v>
      </c>
      <c r="F15" s="42" t="n">
        <v>176013.12</v>
      </c>
      <c r="G15" s="43" t="n">
        <v>0.035</v>
      </c>
      <c r="H15" s="42" t="n">
        <v>345472.56</v>
      </c>
      <c r="I15" s="43" t="n">
        <v>0.0687</v>
      </c>
      <c r="J15" s="42" t="n">
        <v>235931.28</v>
      </c>
      <c r="K15" s="43" t="n">
        <v>0.0469</v>
      </c>
      <c r="L15" s="42" t="n">
        <v>294909.6</v>
      </c>
      <c r="M15" s="43" t="n">
        <v>0.0586</v>
      </c>
      <c r="N15" s="42" t="n">
        <v>352977.48</v>
      </c>
      <c r="O15" s="43" t="n">
        <v>0.0701</v>
      </c>
      <c r="P15" s="42" t="n">
        <v>403522.44</v>
      </c>
      <c r="Q15" s="43" t="n">
        <v>0.0802</v>
      </c>
      <c r="R15" s="42" t="n">
        <v>418369.08</v>
      </c>
      <c r="S15" s="43" t="n">
        <v>0.0831</v>
      </c>
      <c r="T15" s="42" t="n">
        <v>352977.48</v>
      </c>
      <c r="U15" s="43" t="n">
        <v>0.0701</v>
      </c>
      <c r="V15" s="42" t="n">
        <v>408200.64</v>
      </c>
      <c r="W15" s="43" t="n">
        <v>0.0811</v>
      </c>
    </row>
    <row r="16" customFormat="false" ht="15" hidden="false" customHeight="true" outlineLevel="0" collapsed="false">
      <c r="A16" s="44" t="s">
        <v>59</v>
      </c>
      <c r="B16" s="45" t="s">
        <v>60</v>
      </c>
      <c r="C16" s="46" t="n">
        <v>0.1</v>
      </c>
      <c r="D16" s="47" t="s">
        <v>45</v>
      </c>
      <c r="E16" s="47" t="s">
        <v>45</v>
      </c>
      <c r="F16" s="48" t="n">
        <v>-42460</v>
      </c>
      <c r="G16" s="49" t="n">
        <v>-0.0042</v>
      </c>
      <c r="H16" s="48" t="n">
        <v>-49253.6</v>
      </c>
      <c r="I16" s="49" t="n">
        <v>-0.0049</v>
      </c>
      <c r="J16" s="48" t="n">
        <v>-83221.6</v>
      </c>
      <c r="K16" s="49" t="n">
        <v>-0.0083</v>
      </c>
      <c r="L16" s="48" t="n">
        <v>-57745.6</v>
      </c>
      <c r="M16" s="49" t="n">
        <v>-0.0057</v>
      </c>
      <c r="N16" s="48" t="n">
        <v>-66237.6</v>
      </c>
      <c r="O16" s="49" t="n">
        <v>-0.0066</v>
      </c>
      <c r="P16" s="48" t="n">
        <v>-91713.6</v>
      </c>
      <c r="Q16" s="49" t="n">
        <v>-0.0091</v>
      </c>
      <c r="R16" s="48" t="n">
        <v>-112094.4</v>
      </c>
      <c r="S16" s="49" t="n">
        <v>-0.0112</v>
      </c>
      <c r="T16" s="48" t="n">
        <v>-123982</v>
      </c>
      <c r="U16" s="49" t="n">
        <v>-0.0123</v>
      </c>
      <c r="V16" s="48" t="n">
        <v>-157951.2</v>
      </c>
      <c r="W16" s="49" t="n">
        <v>-0.0157</v>
      </c>
    </row>
    <row r="17" customFormat="false" ht="15" hidden="false" customHeight="true" outlineLevel="0" collapsed="false">
      <c r="A17" s="44" t="s">
        <v>61</v>
      </c>
      <c r="B17" s="45" t="s">
        <v>60</v>
      </c>
      <c r="C17" s="46" t="n">
        <v>0.06</v>
      </c>
      <c r="D17" s="47" t="s">
        <v>45</v>
      </c>
      <c r="E17" s="47" t="s">
        <v>45</v>
      </c>
      <c r="F17" s="48" t="n">
        <v>-36057</v>
      </c>
      <c r="G17" s="49" t="n">
        <v>-0.006</v>
      </c>
      <c r="H17" s="48" t="n">
        <v>-43268.4</v>
      </c>
      <c r="I17" s="49" t="n">
        <v>-0.0072</v>
      </c>
      <c r="J17" s="48" t="n">
        <v>-68508.3</v>
      </c>
      <c r="K17" s="49" t="n">
        <v>-0.0113</v>
      </c>
      <c r="L17" s="48" t="n">
        <v>-46874.1</v>
      </c>
      <c r="M17" s="49" t="n">
        <v>-0.0078</v>
      </c>
      <c r="N17" s="48" t="n">
        <v>-42066.5</v>
      </c>
      <c r="O17" s="49" t="n">
        <v>-0.007</v>
      </c>
      <c r="P17" s="48" t="n">
        <v>-58893.1</v>
      </c>
      <c r="Q17" s="49" t="n">
        <v>-0.0098</v>
      </c>
      <c r="R17" s="48" t="n">
        <v>-66104.5</v>
      </c>
      <c r="S17" s="49" t="n">
        <v>-0.011</v>
      </c>
      <c r="T17" s="48" t="n">
        <v>-70912.1</v>
      </c>
      <c r="U17" s="49" t="n">
        <v>-0.0118</v>
      </c>
      <c r="V17" s="48" t="n">
        <v>-74517.8</v>
      </c>
      <c r="W17" s="49" t="n">
        <v>-0.0123</v>
      </c>
    </row>
    <row r="18" customFormat="false" ht="15" hidden="false" customHeight="true" outlineLevel="0" collapsed="false">
      <c r="A18" s="44" t="s">
        <v>62</v>
      </c>
      <c r="B18" s="45" t="s">
        <v>60</v>
      </c>
      <c r="C18" s="46" t="n">
        <v>0.06</v>
      </c>
      <c r="D18" s="47" t="s">
        <v>45</v>
      </c>
      <c r="E18" s="47" t="s">
        <v>45</v>
      </c>
      <c r="F18" s="50" t="n">
        <v>6551.5</v>
      </c>
      <c r="G18" s="51" t="n">
        <v>0.0011</v>
      </c>
      <c r="H18" s="48" t="n">
        <v>-1310.3</v>
      </c>
      <c r="I18" s="49" t="n">
        <v>-0.0002</v>
      </c>
      <c r="J18" s="48" t="n">
        <v>-23585.4</v>
      </c>
      <c r="K18" s="49" t="n">
        <v>-0.0039</v>
      </c>
      <c r="L18" s="48" t="n">
        <v>-3930.9</v>
      </c>
      <c r="M18" s="49" t="n">
        <v>-0.0007</v>
      </c>
      <c r="N18" s="48" t="n">
        <v>-9172.1</v>
      </c>
      <c r="O18" s="49" t="n">
        <v>-0.0015</v>
      </c>
      <c r="P18" s="48" t="n">
        <v>-19654.5</v>
      </c>
      <c r="Q18" s="49" t="n">
        <v>-0.0033</v>
      </c>
      <c r="R18" s="48" t="n">
        <v>-28826.6</v>
      </c>
      <c r="S18" s="49" t="n">
        <v>-0.0048</v>
      </c>
      <c r="T18" s="48" t="n">
        <v>-37998.7</v>
      </c>
      <c r="U18" s="49" t="n">
        <v>-0.0063</v>
      </c>
      <c r="V18" s="48" t="n">
        <v>-35378.1</v>
      </c>
      <c r="W18" s="49" t="n">
        <v>-0.0059</v>
      </c>
    </row>
    <row r="19" customFormat="false" ht="15" hidden="false" customHeight="true" outlineLevel="0" collapsed="false">
      <c r="A19" s="44" t="s">
        <v>63</v>
      </c>
      <c r="B19" s="45" t="s">
        <v>60</v>
      </c>
      <c r="C19" s="46" t="n">
        <v>0.045</v>
      </c>
      <c r="D19" s="47" t="s">
        <v>45</v>
      </c>
      <c r="E19" s="47" t="s">
        <v>45</v>
      </c>
      <c r="F19" s="50" t="n">
        <v>1794.6</v>
      </c>
      <c r="G19" s="51" t="n">
        <v>0.0004</v>
      </c>
      <c r="H19" s="50" t="n">
        <v>2691.9</v>
      </c>
      <c r="I19" s="51" t="n">
        <v>0.0006</v>
      </c>
      <c r="J19" s="48" t="n">
        <v>-6281.1</v>
      </c>
      <c r="K19" s="49" t="n">
        <v>-0.0014</v>
      </c>
      <c r="L19" s="48" t="n">
        <v>-3140.55</v>
      </c>
      <c r="M19" s="49" t="n">
        <v>-0.0007</v>
      </c>
      <c r="N19" s="48" t="n">
        <v>-1345.95</v>
      </c>
      <c r="O19" s="49" t="n">
        <v>-0.0003</v>
      </c>
      <c r="P19" s="50" t="n">
        <v>448.65</v>
      </c>
      <c r="Q19" s="51" t="n">
        <v>0.0001</v>
      </c>
      <c r="R19" s="50" t="n">
        <v>897.3</v>
      </c>
      <c r="S19" s="51" t="n">
        <v>0.0002</v>
      </c>
      <c r="T19" s="50" t="n">
        <v>897.3</v>
      </c>
      <c r="U19" s="51" t="n">
        <v>0.0002</v>
      </c>
      <c r="V19" s="50" t="n">
        <v>0</v>
      </c>
      <c r="W19" s="51" t="n">
        <v>0</v>
      </c>
    </row>
    <row r="20" customFormat="false" ht="15" hidden="false" customHeight="true" outlineLevel="0" collapsed="false">
      <c r="A20" s="52" t="s">
        <v>64</v>
      </c>
      <c r="B20" s="53"/>
      <c r="C20" s="54" t="n">
        <f aca="false">SUM(C4:C19)</f>
        <v>0.945</v>
      </c>
      <c r="D20" s="55" t="n">
        <f aca="false">SUM(D4:D19)</f>
        <v>63465.16</v>
      </c>
      <c r="E20" s="56" t="n">
        <f aca="false">SUMPRODUCT($C$4:$C$19,E4:E19)</f>
        <v>0.0035485</v>
      </c>
      <c r="F20" s="55" t="n">
        <f aca="false">SUM(F4:F19)</f>
        <v>-1638098.63</v>
      </c>
      <c r="G20" s="56" t="n">
        <f aca="false">SUMPRODUCT($C$4:$C$19,G4:G19)</f>
        <v>-0.015686</v>
      </c>
      <c r="H20" s="55" t="n">
        <f aca="false">SUM(H4:H19)</f>
        <v>-1919457.54</v>
      </c>
      <c r="I20" s="56" t="n">
        <f aca="false">SUMPRODUCT($C$4:$C$19,I4:I19)</f>
        <v>-0.017938</v>
      </c>
      <c r="J20" s="55" t="n">
        <f aca="false">SUM(J4:J19)</f>
        <v>-1749036.27</v>
      </c>
      <c r="K20" s="56" t="n">
        <f aca="false">SUMPRODUCT($C$4:$C$19,K4:K19)</f>
        <v>-0.016003</v>
      </c>
      <c r="L20" s="55" t="n">
        <f aca="false">SUM(L4:L19)</f>
        <v>596200.47</v>
      </c>
      <c r="M20" s="56" t="n">
        <f aca="false">SUMPRODUCT($C$4:$C$19,M4:M19)</f>
        <v>0.00677</v>
      </c>
      <c r="N20" s="55" t="n">
        <f aca="false">SUM(N4:N19)</f>
        <v>1192651.09</v>
      </c>
      <c r="O20" s="56" t="n">
        <f aca="false">SUMPRODUCT($C$4:$C$19,O4:O19)</f>
        <v>0.012492</v>
      </c>
      <c r="P20" s="55" t="n">
        <f aca="false">SUM(P4:P19)</f>
        <v>1852754.99</v>
      </c>
      <c r="Q20" s="56" t="n">
        <f aca="false">SUMPRODUCT($C$4:$C$19,Q4:Q19)</f>
        <v>0.018781</v>
      </c>
      <c r="R20" s="55" t="n">
        <f aca="false">SUM(R4:R19)</f>
        <v>2645871.27</v>
      </c>
      <c r="S20" s="56" t="n">
        <f aca="false">SUMPRODUCT($C$4:$C$19,S4:S19)</f>
        <v>0.0265815</v>
      </c>
      <c r="T20" s="55" t="n">
        <f aca="false">SUM(T4:T19)</f>
        <v>1874646.97</v>
      </c>
      <c r="U20" s="56" t="n">
        <f aca="false">SUMPRODUCT($C$4:$C$19,U4:U19)</f>
        <v>0.019036</v>
      </c>
      <c r="V20" s="55" t="n">
        <f aca="false">SUM(V4:V19)</f>
        <v>2050921.26</v>
      </c>
      <c r="W20" s="56" t="n">
        <f aca="false">SUMPRODUCT($C$4:$C$19,W4:W19)</f>
        <v>0.020918</v>
      </c>
    </row>
    <row r="21" customFormat="false" ht="15" hidden="false" customHeight="true" outlineLevel="0" collapsed="false"/>
  </sheetData>
  <mergeCells count="14">
    <mergeCell ref="A1:W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11" min="2" style="1" width="13"/>
  </cols>
  <sheetData>
    <row r="1" customFormat="false" ht="27.75" hidden="false" customHeight="true" outlineLevel="0" collapsed="false">
      <c r="A1" s="19" t="s">
        <v>65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12" t="s">
        <v>66</v>
      </c>
      <c r="B2" s="12" t="s">
        <v>67</v>
      </c>
      <c r="C2" s="12" t="s">
        <v>68</v>
      </c>
      <c r="D2" s="12" t="s">
        <v>69</v>
      </c>
      <c r="E2" s="12" t="s">
        <v>70</v>
      </c>
      <c r="F2" s="12" t="s">
        <v>71</v>
      </c>
      <c r="G2" s="12" t="s">
        <v>72</v>
      </c>
      <c r="H2" s="12" t="s">
        <v>73</v>
      </c>
      <c r="I2" s="12" t="s">
        <v>74</v>
      </c>
      <c r="J2" s="12" t="s">
        <v>75</v>
      </c>
      <c r="K2" s="12" t="s">
        <v>76</v>
      </c>
    </row>
    <row r="3" customFormat="false" ht="15" hidden="false" customHeight="true" outlineLevel="0" collapsed="false">
      <c r="A3" s="57" t="s">
        <v>43</v>
      </c>
      <c r="B3" s="58" t="str">
        <f aca="false">IF(ISNUMBER('Position PL Tracker'!E4),'Position PL Tracker'!$C4*'Position PL Tracker'!E4*10000,"—")</f>
        <v>—</v>
      </c>
      <c r="C3" s="59" t="n">
        <f aca="false">IF(ISNUMBER('Position PL Tracker'!G4),'Position PL Tracker'!$C4*'Position PL Tracker'!G4*10000,"—")</f>
        <v>-3.3</v>
      </c>
      <c r="D3" s="59" t="n">
        <f aca="false">IF(ISNUMBER('Position PL Tracker'!I4),'Position PL Tracker'!$C4*'Position PL Tracker'!I4*10000,"—")</f>
        <v>28.3</v>
      </c>
      <c r="E3" s="59" t="n">
        <f aca="false">IF(ISNUMBER('Position PL Tracker'!K4),'Position PL Tracker'!$C4*'Position PL Tracker'!K4*10000,"—")</f>
        <v>81.65</v>
      </c>
      <c r="F3" s="59" t="n">
        <f aca="false">IF(ISNUMBER('Position PL Tracker'!M4),'Position PL Tracker'!$C4*'Position PL Tracker'!M4*10000,"—")</f>
        <v>101.6</v>
      </c>
      <c r="G3" s="59" t="n">
        <f aca="false">IF(ISNUMBER('Position PL Tracker'!O4),'Position PL Tracker'!$C4*'Position PL Tracker'!O4*10000,"—")</f>
        <v>106.55</v>
      </c>
      <c r="H3" s="59" t="n">
        <f aca="false">IF(ISNUMBER('Position PL Tracker'!Q4),'Position PL Tracker'!$C4*'Position PL Tracker'!Q4*10000,"—")</f>
        <v>70.65</v>
      </c>
      <c r="I3" s="59" t="n">
        <f aca="false">IF(ISNUMBER('Position PL Tracker'!S4),'Position PL Tracker'!$C4*'Position PL Tracker'!S4*10000,"—")</f>
        <v>77.8</v>
      </c>
      <c r="J3" s="59" t="n">
        <f aca="false">IF(ISNUMBER('Position PL Tracker'!U4),'Position PL Tracker'!$C4*'Position PL Tracker'!U4*10000,"—")</f>
        <v>66.2</v>
      </c>
      <c r="K3" s="59" t="n">
        <f aca="false">IF(ISNUMBER('Position PL Tracker'!W4),'Position PL Tracker'!$C4*'Position PL Tracker'!W4*10000,"—")</f>
        <v>57.15</v>
      </c>
    </row>
    <row r="4" customFormat="false" ht="15" hidden="false" customHeight="true" outlineLevel="0" collapsed="false">
      <c r="A4" s="57" t="s">
        <v>46</v>
      </c>
      <c r="B4" s="58" t="str">
        <f aca="false">IF(ISNUMBER('Position PL Tracker'!E5),'Position PL Tracker'!$C5*'Position PL Tracker'!E5*10000,"—")</f>
        <v>—</v>
      </c>
      <c r="C4" s="59" t="n">
        <f aca="false">IF(ISNUMBER('Position PL Tracker'!G5),'Position PL Tracker'!$C5*'Position PL Tracker'!G5*10000,"—")</f>
        <v>19.44</v>
      </c>
      <c r="D4" s="59" t="n">
        <f aca="false">IF(ISNUMBER('Position PL Tracker'!I5),'Position PL Tracker'!$C5*'Position PL Tracker'!I5*10000,"—")</f>
        <v>58.8</v>
      </c>
      <c r="E4" s="59" t="n">
        <f aca="false">IF(ISNUMBER('Position PL Tracker'!K5),'Position PL Tracker'!$C5*'Position PL Tracker'!K5*10000,"—")</f>
        <v>24.72</v>
      </c>
      <c r="F4" s="59" t="n">
        <f aca="false">IF(ISNUMBER('Position PL Tracker'!M5),'Position PL Tracker'!$C5*'Position PL Tracker'!M5*10000,"—")</f>
        <v>96</v>
      </c>
      <c r="G4" s="59" t="n">
        <f aca="false">IF(ISNUMBER('Position PL Tracker'!O5),'Position PL Tracker'!$C5*'Position PL Tracker'!O5*10000,"—")</f>
        <v>117.3</v>
      </c>
      <c r="H4" s="59" t="n">
        <f aca="false">IF(ISNUMBER('Position PL Tracker'!Q5),'Position PL Tracker'!$C5*'Position PL Tracker'!Q5*10000,"—")</f>
        <v>181.26</v>
      </c>
      <c r="I4" s="59" t="n">
        <f aca="false">IF(ISNUMBER('Position PL Tracker'!S5),'Position PL Tracker'!$C5*'Position PL Tracker'!S5*10000,"—")</f>
        <v>195.12</v>
      </c>
      <c r="J4" s="59" t="n">
        <f aca="false">IF(ISNUMBER('Position PL Tracker'!U5),'Position PL Tracker'!$C5*'Position PL Tracker'!U5*10000,"—")</f>
        <v>206.94</v>
      </c>
      <c r="K4" s="59" t="n">
        <f aca="false">IF(ISNUMBER('Position PL Tracker'!W5),'Position PL Tracker'!$C5*'Position PL Tracker'!W5*10000,"—")</f>
        <v>214.62</v>
      </c>
    </row>
    <row r="5" customFormat="false" ht="15" hidden="false" customHeight="true" outlineLevel="0" collapsed="false">
      <c r="A5" s="57" t="s">
        <v>47</v>
      </c>
      <c r="B5" s="59" t="n">
        <f aca="false">IF(ISNUMBER('Position PL Tracker'!E6),'Position PL Tracker'!$C6*'Position PL Tracker'!E6*10000,"—")</f>
        <v>38.3</v>
      </c>
      <c r="C5" s="59" t="n">
        <f aca="false">IF(ISNUMBER('Position PL Tracker'!G6),'Position PL Tracker'!$C6*'Position PL Tracker'!G6*10000,"—")</f>
        <v>-68.5</v>
      </c>
      <c r="D5" s="59" t="n">
        <f aca="false">IF(ISNUMBER('Position PL Tracker'!I6),'Position PL Tracker'!$C6*'Position PL Tracker'!I6*10000,"—")</f>
        <v>-164.4</v>
      </c>
      <c r="E5" s="59" t="n">
        <f aca="false">IF(ISNUMBER('Position PL Tracker'!K6),'Position PL Tracker'!$C6*'Position PL Tracker'!K6*10000,"—")</f>
        <v>-189.4</v>
      </c>
      <c r="F5" s="59" t="n">
        <f aca="false">IF(ISNUMBER('Position PL Tracker'!M6),'Position PL Tracker'!$C6*'Position PL Tracker'!M6*10000,"—")</f>
        <v>-138.4</v>
      </c>
      <c r="G5" s="59" t="n">
        <f aca="false">IF(ISNUMBER('Position PL Tracker'!O6),'Position PL Tracker'!$C6*'Position PL Tracker'!O6*10000,"—")</f>
        <v>-109.7</v>
      </c>
      <c r="H5" s="59" t="n">
        <f aca="false">IF(ISNUMBER('Position PL Tracker'!Q6),'Position PL Tracker'!$C6*'Position PL Tracker'!Q6*10000,"—")</f>
        <v>-84.5</v>
      </c>
      <c r="I5" s="59" t="n">
        <f aca="false">IF(ISNUMBER('Position PL Tracker'!S6),'Position PL Tracker'!$C6*'Position PL Tracker'!S6*10000,"—")</f>
        <v>-75.5</v>
      </c>
      <c r="J5" s="59" t="n">
        <f aca="false">IF(ISNUMBER('Position PL Tracker'!U6),'Position PL Tracker'!$C6*'Position PL Tracker'!U6*10000,"—")</f>
        <v>-97.3</v>
      </c>
      <c r="K5" s="59" t="n">
        <f aca="false">IF(ISNUMBER('Position PL Tracker'!W6),'Position PL Tracker'!$C6*'Position PL Tracker'!W6*10000,"—")</f>
        <v>-109.3</v>
      </c>
    </row>
    <row r="6" customFormat="false" ht="15" hidden="false" customHeight="true" outlineLevel="0" collapsed="false">
      <c r="A6" s="57" t="s">
        <v>48</v>
      </c>
      <c r="B6" s="59" t="n">
        <f aca="false">IF(ISNUMBER('Position PL Tracker'!E7),'Position PL Tracker'!$C7*'Position PL Tracker'!E7*10000,"—")</f>
        <v>10.53</v>
      </c>
      <c r="C6" s="59" t="n">
        <f aca="false">IF(ISNUMBER('Position PL Tracker'!G7),'Position PL Tracker'!$C7*'Position PL Tracker'!G7*10000,"—")</f>
        <v>-1.065</v>
      </c>
      <c r="D6" s="59" t="n">
        <f aca="false">IF(ISNUMBER('Position PL Tracker'!I7),'Position PL Tracker'!$C7*'Position PL Tracker'!I7*10000,"—")</f>
        <v>-8.07</v>
      </c>
      <c r="E6" s="59" t="n">
        <f aca="false">IF(ISNUMBER('Position PL Tracker'!K7),'Position PL Tracker'!$C7*'Position PL Tracker'!K7*10000,"—")</f>
        <v>-4.035</v>
      </c>
      <c r="F6" s="59" t="n">
        <f aca="false">IF(ISNUMBER('Position PL Tracker'!M7),'Position PL Tracker'!$C7*'Position PL Tracker'!M7*10000,"—")</f>
        <v>-5.595</v>
      </c>
      <c r="G6" s="59" t="n">
        <f aca="false">IF(ISNUMBER('Position PL Tracker'!O7),'Position PL Tracker'!$C7*'Position PL Tracker'!O7*10000,"—")</f>
        <v>-8.985</v>
      </c>
      <c r="H6" s="59" t="n">
        <f aca="false">IF(ISNUMBER('Position PL Tracker'!Q7),'Position PL Tracker'!$C7*'Position PL Tracker'!Q7*10000,"—")</f>
        <v>-13.02</v>
      </c>
      <c r="I6" s="59" t="n">
        <f aca="false">IF(ISNUMBER('Position PL Tracker'!S7),'Position PL Tracker'!$C7*'Position PL Tracker'!S7*10000,"—")</f>
        <v>-11.49</v>
      </c>
      <c r="J6" s="59" t="n">
        <f aca="false">IF(ISNUMBER('Position PL Tracker'!U7),'Position PL Tracker'!$C7*'Position PL Tracker'!U7*10000,"—")</f>
        <v>-11.07</v>
      </c>
      <c r="K6" s="59" t="n">
        <f aca="false">IF(ISNUMBER('Position PL Tracker'!W7),'Position PL Tracker'!$C7*'Position PL Tracker'!W7*10000,"—")</f>
        <v>-11.145</v>
      </c>
    </row>
    <row r="7" customFormat="false" ht="15" hidden="false" customHeight="true" outlineLevel="0" collapsed="false">
      <c r="A7" s="57" t="s">
        <v>49</v>
      </c>
      <c r="B7" s="58" t="str">
        <f aca="false">IF(ISNUMBER('Position PL Tracker'!E8),'Position PL Tracker'!$C8*'Position PL Tracker'!E8*10000,"—")</f>
        <v>—</v>
      </c>
      <c r="C7" s="59" t="n">
        <f aca="false">IF(ISNUMBER('Position PL Tracker'!G8),'Position PL Tracker'!$C8*'Position PL Tracker'!G8*10000,"—")</f>
        <v>-65.72</v>
      </c>
      <c r="D7" s="59" t="n">
        <f aca="false">IF(ISNUMBER('Position PL Tracker'!I8),'Position PL Tracker'!$C8*'Position PL Tracker'!I8*10000,"—")</f>
        <v>-61.88</v>
      </c>
      <c r="E7" s="59" t="n">
        <f aca="false">IF(ISNUMBER('Position PL Tracker'!K8),'Position PL Tracker'!$C8*'Position PL Tracker'!K8*10000,"—")</f>
        <v>-6.92</v>
      </c>
      <c r="F7" s="59" t="n">
        <f aca="false">IF(ISNUMBER('Position PL Tracker'!M8),'Position PL Tracker'!$C8*'Position PL Tracker'!M8*10000,"—")</f>
        <v>-5.8</v>
      </c>
      <c r="G7" s="59" t="n">
        <f aca="false">IF(ISNUMBER('Position PL Tracker'!O8),'Position PL Tracker'!$C8*'Position PL Tracker'!O8*10000,"—")</f>
        <v>-24.16</v>
      </c>
      <c r="H7" s="59" t="n">
        <f aca="false">IF(ISNUMBER('Position PL Tracker'!Q8),'Position PL Tracker'!$C8*'Position PL Tracker'!Q8*10000,"—")</f>
        <v>-45.36</v>
      </c>
      <c r="I7" s="59" t="n">
        <f aca="false">IF(ISNUMBER('Position PL Tracker'!S8),'Position PL Tracker'!$C8*'Position PL Tracker'!S8*10000,"—")</f>
        <v>-38.28</v>
      </c>
      <c r="J7" s="59" t="n">
        <f aca="false">IF(ISNUMBER('Position PL Tracker'!U8),'Position PL Tracker'!$C8*'Position PL Tracker'!U8*10000,"—")</f>
        <v>-41</v>
      </c>
      <c r="K7" s="59" t="n">
        <f aca="false">IF(ISNUMBER('Position PL Tracker'!W8),'Position PL Tracker'!$C8*'Position PL Tracker'!W8*10000,"—")</f>
        <v>-45.28</v>
      </c>
    </row>
    <row r="8" customFormat="false" ht="15" hidden="false" customHeight="true" outlineLevel="0" collapsed="false">
      <c r="A8" s="57" t="s">
        <v>50</v>
      </c>
      <c r="B8" s="59" t="n">
        <f aca="false">IF(ISNUMBER('Position PL Tracker'!E9),'Position PL Tracker'!$C9*'Position PL Tracker'!E9*10000,"—")</f>
        <v>1.495</v>
      </c>
      <c r="C8" s="59" t="n">
        <f aca="false">IF(ISNUMBER('Position PL Tracker'!G9),'Position PL Tracker'!$C9*'Position PL Tracker'!G9*10000,"—")</f>
        <v>-1.385</v>
      </c>
      <c r="D8" s="59" t="n">
        <f aca="false">IF(ISNUMBER('Position PL Tracker'!I9),'Position PL Tracker'!$C9*'Position PL Tracker'!I9*10000,"—")</f>
        <v>-2.88</v>
      </c>
      <c r="E8" s="59" t="n">
        <f aca="false">IF(ISNUMBER('Position PL Tracker'!K9),'Position PL Tracker'!$C9*'Position PL Tracker'!K9*10000,"—")</f>
        <v>-3.305</v>
      </c>
      <c r="F8" s="59" t="n">
        <f aca="false">IF(ISNUMBER('Position PL Tracker'!M9),'Position PL Tracker'!$C9*'Position PL Tracker'!M9*10000,"—")</f>
        <v>-2.88</v>
      </c>
      <c r="G8" s="59" t="n">
        <f aca="false">IF(ISNUMBER('Position PL Tracker'!O9),'Position PL Tracker'!$C9*'Position PL Tracker'!O9*10000,"—")</f>
        <v>-2.56</v>
      </c>
      <c r="H8" s="59" t="n">
        <f aca="false">IF(ISNUMBER('Position PL Tracker'!Q9),'Position PL Tracker'!$C9*'Position PL Tracker'!Q9*10000,"—")</f>
        <v>-3.415</v>
      </c>
      <c r="I8" s="59" t="n">
        <f aca="false">IF(ISNUMBER('Position PL Tracker'!S9),'Position PL Tracker'!$C9*'Position PL Tracker'!S9*10000,"—")</f>
        <v>-2.985</v>
      </c>
      <c r="J8" s="59" t="n">
        <f aca="false">IF(ISNUMBER('Position PL Tracker'!U9),'Position PL Tracker'!$C9*'Position PL Tracker'!U9*10000,"—")</f>
        <v>-3.2</v>
      </c>
      <c r="K8" s="59" t="n">
        <f aca="false">IF(ISNUMBER('Position PL Tracker'!W9),'Position PL Tracker'!$C9*'Position PL Tracker'!W9*10000,"—")</f>
        <v>-3.255</v>
      </c>
    </row>
    <row r="9" customFormat="false" ht="15" hidden="false" customHeight="true" outlineLevel="0" collapsed="false">
      <c r="A9" s="60" t="s">
        <v>51</v>
      </c>
      <c r="B9" s="61" t="n">
        <f aca="false">IF(ISNUMBER('Position PL Tracker'!E10),'Position PL Tracker'!$C10*'Position PL Tracker'!E10*10000,"—")</f>
        <v>-14.84</v>
      </c>
      <c r="C9" s="61" t="n">
        <f aca="false">IF(ISNUMBER('Position PL Tracker'!G10),'Position PL Tracker'!$C10*'Position PL Tracker'!G10*10000,"—")</f>
        <v>8.12</v>
      </c>
      <c r="D9" s="61" t="n">
        <f aca="false">IF(ISNUMBER('Position PL Tracker'!I10),'Position PL Tracker'!$C10*'Position PL Tracker'!I10*10000,"—")</f>
        <v>8.96</v>
      </c>
      <c r="E9" s="61" t="n">
        <f aca="false">IF(ISNUMBER('Position PL Tracker'!K10),'Position PL Tracker'!$C10*'Position PL Tracker'!K10*10000,"—")</f>
        <v>12.32</v>
      </c>
      <c r="F9" s="61" t="n">
        <f aca="false">IF(ISNUMBER('Position PL Tracker'!M10),'Position PL Tracker'!$C10*'Position PL Tracker'!M10*10000,"—")</f>
        <v>42.14</v>
      </c>
      <c r="G9" s="61" t="n">
        <f aca="false">IF(ISNUMBER('Position PL Tracker'!O10),'Position PL Tracker'!$C10*'Position PL Tracker'!O10*10000,"—")</f>
        <v>48.58</v>
      </c>
      <c r="H9" s="61" t="n">
        <f aca="false">IF(ISNUMBER('Position PL Tracker'!Q10),'Position PL Tracker'!$C10*'Position PL Tracker'!Q10*10000,"—")</f>
        <v>48.16</v>
      </c>
      <c r="I9" s="61" t="n">
        <f aca="false">IF(ISNUMBER('Position PL Tracker'!S10),'Position PL Tracker'!$C10*'Position PL Tracker'!S10*10000,"—")</f>
        <v>59.92</v>
      </c>
      <c r="J9" s="61" t="n">
        <f aca="false">IF(ISNUMBER('Position PL Tracker'!U10),'Position PL Tracker'!$C10*'Position PL Tracker'!U10*10000,"—")</f>
        <v>36.68</v>
      </c>
      <c r="K9" s="61" t="n">
        <f aca="false">IF(ISNUMBER('Position PL Tracker'!W10),'Position PL Tracker'!$C10*'Position PL Tracker'!W10*10000,"—")</f>
        <v>61.74</v>
      </c>
    </row>
    <row r="10" customFormat="false" ht="15" hidden="false" customHeight="true" outlineLevel="0" collapsed="false">
      <c r="A10" s="60" t="s">
        <v>53</v>
      </c>
      <c r="B10" s="62" t="str">
        <f aca="false">IF(ISNUMBER('Position PL Tracker'!E11),'Position PL Tracker'!$C11*'Position PL Tracker'!E11*10000,"—")</f>
        <v>—</v>
      </c>
      <c r="C10" s="61" t="n">
        <f aca="false">IF(ISNUMBER('Position PL Tracker'!G11),'Position PL Tracker'!$C11*'Position PL Tracker'!G11*10000,"—")</f>
        <v>3.6</v>
      </c>
      <c r="D10" s="61" t="n">
        <f aca="false">IF(ISNUMBER('Position PL Tracker'!I11),'Position PL Tracker'!$C11*'Position PL Tracker'!I11*10000,"—")</f>
        <v>5.9</v>
      </c>
      <c r="E10" s="61" t="n">
        <f aca="false">IF(ISNUMBER('Position PL Tracker'!K11),'Position PL Tracker'!$C11*'Position PL Tracker'!K11*10000,"—")</f>
        <v>-1.2</v>
      </c>
      <c r="F10" s="61" t="n">
        <f aca="false">IF(ISNUMBER('Position PL Tracker'!M11),'Position PL Tracker'!$C11*'Position PL Tracker'!M11*10000,"—")</f>
        <v>21.7</v>
      </c>
      <c r="G10" s="61" t="n">
        <f aca="false">IF(ISNUMBER('Position PL Tracker'!O11),'Position PL Tracker'!$C11*'Position PL Tracker'!O11*10000,"—")</f>
        <v>25.8</v>
      </c>
      <c r="H10" s="61" t="n">
        <f aca="false">IF(ISNUMBER('Position PL Tracker'!Q11),'Position PL Tracker'!$C11*'Position PL Tracker'!Q11*10000,"—")</f>
        <v>33.8</v>
      </c>
      <c r="I10" s="61" t="n">
        <f aca="false">IF(ISNUMBER('Position PL Tracker'!S11),'Position PL Tracker'!$C11*'Position PL Tracker'!S11*10000,"—")</f>
        <v>44.5</v>
      </c>
      <c r="J10" s="61" t="n">
        <f aca="false">IF(ISNUMBER('Position PL Tracker'!U11),'Position PL Tracker'!$C11*'Position PL Tracker'!U11*10000,"—")</f>
        <v>34.6</v>
      </c>
      <c r="K10" s="61" t="n">
        <f aca="false">IF(ISNUMBER('Position PL Tracker'!W11),'Position PL Tracker'!$C11*'Position PL Tracker'!W11*10000,"—")</f>
        <v>39</v>
      </c>
    </row>
    <row r="11" customFormat="false" ht="15" hidden="false" customHeight="true" outlineLevel="0" collapsed="false">
      <c r="A11" s="60" t="s">
        <v>54</v>
      </c>
      <c r="B11" s="62" t="str">
        <f aca="false">IF(ISNUMBER('Position PL Tracker'!E12),'Position PL Tracker'!$C12*'Position PL Tracker'!E12*10000,"—")</f>
        <v>—</v>
      </c>
      <c r="C11" s="61" t="n">
        <f aca="false">IF(ISNUMBER('Position PL Tracker'!G12),'Position PL Tracker'!$C12*'Position PL Tracker'!G12*10000,"—")</f>
        <v>-68.1</v>
      </c>
      <c r="D11" s="61" t="n">
        <f aca="false">IF(ISNUMBER('Position PL Tracker'!I12),'Position PL Tracker'!$C12*'Position PL Tracker'!I12*10000,"—")</f>
        <v>-69.24</v>
      </c>
      <c r="E11" s="61" t="n">
        <f aca="false">IF(ISNUMBER('Position PL Tracker'!K12),'Position PL Tracker'!$C12*'Position PL Tracker'!K12*10000,"—")</f>
        <v>-63.33</v>
      </c>
      <c r="F11" s="61" t="n">
        <f aca="false">IF(ISNUMBER('Position PL Tracker'!M12),'Position PL Tracker'!$C12*'Position PL Tracker'!M12*10000,"—")</f>
        <v>-54.81</v>
      </c>
      <c r="G11" s="61" t="n">
        <f aca="false">IF(ISNUMBER('Position PL Tracker'!O12),'Position PL Tracker'!$C12*'Position PL Tracker'!O12*10000,"—")</f>
        <v>-57.39</v>
      </c>
      <c r="H11" s="61" t="n">
        <f aca="false">IF(ISNUMBER('Position PL Tracker'!Q12),'Position PL Tracker'!$C12*'Position PL Tracker'!Q12*10000,"—")</f>
        <v>-46.08</v>
      </c>
      <c r="I11" s="61" t="n">
        <f aca="false">IF(ISNUMBER('Position PL Tracker'!S12),'Position PL Tracker'!$C12*'Position PL Tracker'!S12*10000,"—")</f>
        <v>-37.65</v>
      </c>
      <c r="J11" s="61" t="n">
        <f aca="false">IF(ISNUMBER('Position PL Tracker'!U12),'Position PL Tracker'!$C12*'Position PL Tracker'!U12*10000,"—")</f>
        <v>-34.26</v>
      </c>
      <c r="K11" s="61" t="n">
        <f aca="false">IF(ISNUMBER('Position PL Tracker'!W12),'Position PL Tracker'!$C12*'Position PL Tracker'!W12*10000,"—")</f>
        <v>-29.91</v>
      </c>
    </row>
    <row r="12" customFormat="false" ht="15" hidden="false" customHeight="true" outlineLevel="0" collapsed="false">
      <c r="A12" s="60" t="s">
        <v>55</v>
      </c>
      <c r="B12" s="62" t="str">
        <f aca="false">IF(ISNUMBER('Position PL Tracker'!E13),'Position PL Tracker'!$C13*'Position PL Tracker'!E13*10000,"—")</f>
        <v>—</v>
      </c>
      <c r="C12" s="61" t="n">
        <f aca="false">IF(ISNUMBER('Position PL Tracker'!G13),'Position PL Tracker'!$C13*'Position PL Tracker'!G13*10000,"—")</f>
        <v>-5.73</v>
      </c>
      <c r="D12" s="61" t="n">
        <f aca="false">IF(ISNUMBER('Position PL Tracker'!I13),'Position PL Tracker'!$C13*'Position PL Tracker'!I13*10000,"—")</f>
        <v>-16.89</v>
      </c>
      <c r="E12" s="61" t="n">
        <f aca="false">IF(ISNUMBER('Position PL Tracker'!K13),'Position PL Tracker'!$C13*'Position PL Tracker'!K13*10000,"—")</f>
        <v>-16.53</v>
      </c>
      <c r="F12" s="61" t="n">
        <f aca="false">IF(ISNUMBER('Position PL Tracker'!M13),'Position PL Tracker'!$C13*'Position PL Tracker'!M13*10000,"—")</f>
        <v>-13.8</v>
      </c>
      <c r="G12" s="61" t="n">
        <f aca="false">IF(ISNUMBER('Position PL Tracker'!O13),'Position PL Tracker'!$C13*'Position PL Tracker'!O13*10000,"—")</f>
        <v>-12.57</v>
      </c>
      <c r="H12" s="61" t="n">
        <f aca="false">IF(ISNUMBER('Position PL Tracker'!Q13),'Position PL Tracker'!$C13*'Position PL Tracker'!Q13*10000,"—")</f>
        <v>-7.89</v>
      </c>
      <c r="I12" s="61" t="n">
        <f aca="false">IF(ISNUMBER('Position PL Tracker'!S13),'Position PL Tracker'!$C13*'Position PL Tracker'!S13*10000,"—")</f>
        <v>-2.46</v>
      </c>
      <c r="J12" s="61" t="n">
        <f aca="false">IF(ISNUMBER('Position PL Tracker'!U13),'Position PL Tracker'!$C13*'Position PL Tracker'!U13*10000,"—")</f>
        <v>-12.57</v>
      </c>
      <c r="K12" s="61" t="n">
        <f aca="false">IF(ISNUMBER('Position PL Tracker'!W13),'Position PL Tracker'!$C13*'Position PL Tracker'!W13*10000,"—")</f>
        <v>-16.53</v>
      </c>
    </row>
    <row r="13" customFormat="false" ht="15" hidden="false" customHeight="true" outlineLevel="0" collapsed="false">
      <c r="A13" s="63" t="s">
        <v>56</v>
      </c>
      <c r="B13" s="64" t="str">
        <f aca="false">IF(ISNUMBER('Position PL Tracker'!E14),'Position PL Tracker'!$C14*'Position PL Tracker'!E14*10000,"—")</f>
        <v>—</v>
      </c>
      <c r="C13" s="65" t="n">
        <f aca="false">IF(ISNUMBER('Position PL Tracker'!G14),'Position PL Tracker'!$C14*'Position PL Tracker'!G14*10000,"—")</f>
        <v>15.24</v>
      </c>
      <c r="D13" s="65" t="n">
        <f aca="false">IF(ISNUMBER('Position PL Tracker'!I14),'Position PL Tracker'!$C14*'Position PL Tracker'!I14*10000,"—")</f>
        <v>16.74</v>
      </c>
      <c r="E13" s="65" t="n">
        <f aca="false">IF(ISNUMBER('Position PL Tracker'!K14),'Position PL Tracker'!$C14*'Position PL Tracker'!K14*10000,"—")</f>
        <v>0.6</v>
      </c>
      <c r="F13" s="65" t="n">
        <f aca="false">IF(ISNUMBER('Position PL Tracker'!M14),'Position PL Tracker'!$C14*'Position PL Tracker'!M14*10000,"—")</f>
        <v>9.36</v>
      </c>
      <c r="G13" s="65" t="n">
        <f aca="false">IF(ISNUMBER('Position PL Tracker'!O14),'Position PL Tracker'!$C14*'Position PL Tracker'!O14*10000,"—")</f>
        <v>18.84</v>
      </c>
      <c r="H13" s="65" t="n">
        <f aca="false">IF(ISNUMBER('Position PL Tracker'!Q14),'Position PL Tracker'!$C14*'Position PL Tracker'!Q14*10000,"—")</f>
        <v>31.02</v>
      </c>
      <c r="I13" s="65" t="n">
        <f aca="false">IF(ISNUMBER('Position PL Tracker'!S14),'Position PL Tracker'!$C14*'Position PL Tracker'!S14*10000,"—")</f>
        <v>35.88</v>
      </c>
      <c r="J13" s="65" t="n">
        <f aca="false">IF(ISNUMBER('Position PL Tracker'!U14),'Position PL Tracker'!$C14*'Position PL Tracker'!U14*10000,"—")</f>
        <v>33.36</v>
      </c>
      <c r="K13" s="65" t="n">
        <f aca="false">IF(ISNUMBER('Position PL Tracker'!W14),'Position PL Tracker'!$C14*'Position PL Tracker'!W14*10000,"—")</f>
        <v>38.16</v>
      </c>
    </row>
    <row r="14" customFormat="false" ht="15" hidden="false" customHeight="true" outlineLevel="0" collapsed="false">
      <c r="A14" s="63" t="s">
        <v>58</v>
      </c>
      <c r="B14" s="64" t="str">
        <f aca="false">IF(ISNUMBER('Position PL Tracker'!E15),'Position PL Tracker'!$C15*'Position PL Tracker'!E15*10000,"—")</f>
        <v>—</v>
      </c>
      <c r="C14" s="65" t="n">
        <f aca="false">IF(ISNUMBER('Position PL Tracker'!G15),'Position PL Tracker'!$C15*'Position PL Tracker'!G15*10000,"—")</f>
        <v>17.5</v>
      </c>
      <c r="D14" s="65" t="n">
        <f aca="false">IF(ISNUMBER('Position PL Tracker'!I15),'Position PL Tracker'!$C15*'Position PL Tracker'!I15*10000,"—")</f>
        <v>34.35</v>
      </c>
      <c r="E14" s="65" t="n">
        <f aca="false">IF(ISNUMBER('Position PL Tracker'!K15),'Position PL Tracker'!$C15*'Position PL Tracker'!K15*10000,"—")</f>
        <v>23.45</v>
      </c>
      <c r="F14" s="65" t="n">
        <f aca="false">IF(ISNUMBER('Position PL Tracker'!M15),'Position PL Tracker'!$C15*'Position PL Tracker'!M15*10000,"—")</f>
        <v>29.3</v>
      </c>
      <c r="G14" s="65" t="n">
        <f aca="false">IF(ISNUMBER('Position PL Tracker'!O15),'Position PL Tracker'!$C15*'Position PL Tracker'!O15*10000,"—")</f>
        <v>35.05</v>
      </c>
      <c r="H14" s="65" t="n">
        <f aca="false">IF(ISNUMBER('Position PL Tracker'!Q15),'Position PL Tracker'!$C15*'Position PL Tracker'!Q15*10000,"—")</f>
        <v>40.1</v>
      </c>
      <c r="I14" s="65" t="n">
        <f aca="false">IF(ISNUMBER('Position PL Tracker'!S15),'Position PL Tracker'!$C15*'Position PL Tracker'!S15*10000,"—")</f>
        <v>41.55</v>
      </c>
      <c r="J14" s="65" t="n">
        <f aca="false">IF(ISNUMBER('Position PL Tracker'!U15),'Position PL Tracker'!$C15*'Position PL Tracker'!U15*10000,"—")</f>
        <v>35.05</v>
      </c>
      <c r="K14" s="65" t="n">
        <f aca="false">IF(ISNUMBER('Position PL Tracker'!W15),'Position PL Tracker'!$C15*'Position PL Tracker'!W15*10000,"—")</f>
        <v>40.55</v>
      </c>
    </row>
    <row r="15" customFormat="false" ht="15" hidden="false" customHeight="true" outlineLevel="0" collapsed="false">
      <c r="A15" s="66" t="s">
        <v>59</v>
      </c>
      <c r="B15" s="67" t="str">
        <f aca="false">IF(ISNUMBER('Position PL Tracker'!E16),'Position PL Tracker'!$C16*'Position PL Tracker'!E16*10000,"—")</f>
        <v>—</v>
      </c>
      <c r="C15" s="68" t="n">
        <f aca="false">IF(ISNUMBER('Position PL Tracker'!G16),'Position PL Tracker'!$C16*'Position PL Tracker'!G16*10000,"—")</f>
        <v>-4.2</v>
      </c>
      <c r="D15" s="68" t="n">
        <f aca="false">IF(ISNUMBER('Position PL Tracker'!I16),'Position PL Tracker'!$C16*'Position PL Tracker'!I16*10000,"—")</f>
        <v>-4.9</v>
      </c>
      <c r="E15" s="68" t="n">
        <f aca="false">IF(ISNUMBER('Position PL Tracker'!K16),'Position PL Tracker'!$C16*'Position PL Tracker'!K16*10000,"—")</f>
        <v>-8.3</v>
      </c>
      <c r="F15" s="68" t="n">
        <f aca="false">IF(ISNUMBER('Position PL Tracker'!M16),'Position PL Tracker'!$C16*'Position PL Tracker'!M16*10000,"—")</f>
        <v>-5.7</v>
      </c>
      <c r="G15" s="68" t="n">
        <f aca="false">IF(ISNUMBER('Position PL Tracker'!O16),'Position PL Tracker'!$C16*'Position PL Tracker'!O16*10000,"—")</f>
        <v>-6.6</v>
      </c>
      <c r="H15" s="68" t="n">
        <f aca="false">IF(ISNUMBER('Position PL Tracker'!Q16),'Position PL Tracker'!$C16*'Position PL Tracker'!Q16*10000,"—")</f>
        <v>-9.1</v>
      </c>
      <c r="I15" s="68" t="n">
        <f aca="false">IF(ISNUMBER('Position PL Tracker'!S16),'Position PL Tracker'!$C16*'Position PL Tracker'!S16*10000,"—")</f>
        <v>-11.2</v>
      </c>
      <c r="J15" s="68" t="n">
        <f aca="false">IF(ISNUMBER('Position PL Tracker'!U16),'Position PL Tracker'!$C16*'Position PL Tracker'!U16*10000,"—")</f>
        <v>-12.3</v>
      </c>
      <c r="K15" s="68" t="n">
        <f aca="false">IF(ISNUMBER('Position PL Tracker'!W16),'Position PL Tracker'!$C16*'Position PL Tracker'!W16*10000,"—")</f>
        <v>-15.7</v>
      </c>
    </row>
    <row r="16" customFormat="false" ht="15" hidden="false" customHeight="true" outlineLevel="0" collapsed="false">
      <c r="A16" s="66" t="s">
        <v>61</v>
      </c>
      <c r="B16" s="67" t="str">
        <f aca="false">IF(ISNUMBER('Position PL Tracker'!E17),'Position PL Tracker'!$C17*'Position PL Tracker'!E17*10000,"—")</f>
        <v>—</v>
      </c>
      <c r="C16" s="68" t="n">
        <f aca="false">IF(ISNUMBER('Position PL Tracker'!G17),'Position PL Tracker'!$C17*'Position PL Tracker'!G17*10000,"—")</f>
        <v>-3.6</v>
      </c>
      <c r="D16" s="68" t="n">
        <f aca="false">IF(ISNUMBER('Position PL Tracker'!I17),'Position PL Tracker'!$C17*'Position PL Tracker'!I17*10000,"—")</f>
        <v>-4.32</v>
      </c>
      <c r="E16" s="68" t="n">
        <f aca="false">IF(ISNUMBER('Position PL Tracker'!K17),'Position PL Tracker'!$C17*'Position PL Tracker'!K17*10000,"—")</f>
        <v>-6.78</v>
      </c>
      <c r="F16" s="68" t="n">
        <f aca="false">IF(ISNUMBER('Position PL Tracker'!M17),'Position PL Tracker'!$C17*'Position PL Tracker'!M17*10000,"—")</f>
        <v>-4.68</v>
      </c>
      <c r="G16" s="68" t="n">
        <f aca="false">IF(ISNUMBER('Position PL Tracker'!O17),'Position PL Tracker'!$C17*'Position PL Tracker'!O17*10000,"—")</f>
        <v>-4.2</v>
      </c>
      <c r="H16" s="68" t="n">
        <f aca="false">IF(ISNUMBER('Position PL Tracker'!Q17),'Position PL Tracker'!$C17*'Position PL Tracker'!Q17*10000,"—")</f>
        <v>-5.88</v>
      </c>
      <c r="I16" s="68" t="n">
        <f aca="false">IF(ISNUMBER('Position PL Tracker'!S17),'Position PL Tracker'!$C17*'Position PL Tracker'!S17*10000,"—")</f>
        <v>-6.6</v>
      </c>
      <c r="J16" s="68" t="n">
        <f aca="false">IF(ISNUMBER('Position PL Tracker'!U17),'Position PL Tracker'!$C17*'Position PL Tracker'!U17*10000,"—")</f>
        <v>-7.08</v>
      </c>
      <c r="K16" s="68" t="n">
        <f aca="false">IF(ISNUMBER('Position PL Tracker'!W17),'Position PL Tracker'!$C17*'Position PL Tracker'!W17*10000,"—")</f>
        <v>-7.38</v>
      </c>
    </row>
    <row r="17" customFormat="false" ht="15" hidden="false" customHeight="true" outlineLevel="0" collapsed="false">
      <c r="A17" s="66" t="s">
        <v>62</v>
      </c>
      <c r="B17" s="67" t="str">
        <f aca="false">IF(ISNUMBER('Position PL Tracker'!E18),'Position PL Tracker'!$C18*'Position PL Tracker'!E18*10000,"—")</f>
        <v>—</v>
      </c>
      <c r="C17" s="68" t="n">
        <f aca="false">IF(ISNUMBER('Position PL Tracker'!G18),'Position PL Tracker'!$C18*'Position PL Tracker'!G18*10000,"—")</f>
        <v>0.66</v>
      </c>
      <c r="D17" s="68" t="n">
        <f aca="false">IF(ISNUMBER('Position PL Tracker'!I18),'Position PL Tracker'!$C18*'Position PL Tracker'!I18*10000,"—")</f>
        <v>-0.12</v>
      </c>
      <c r="E17" s="68" t="n">
        <f aca="false">IF(ISNUMBER('Position PL Tracker'!K18),'Position PL Tracker'!$C18*'Position PL Tracker'!K18*10000,"—")</f>
        <v>-2.34</v>
      </c>
      <c r="F17" s="68" t="n">
        <f aca="false">IF(ISNUMBER('Position PL Tracker'!M18),'Position PL Tracker'!$C18*'Position PL Tracker'!M18*10000,"—")</f>
        <v>-0.42</v>
      </c>
      <c r="G17" s="68" t="n">
        <f aca="false">IF(ISNUMBER('Position PL Tracker'!O18),'Position PL Tracker'!$C18*'Position PL Tracker'!O18*10000,"—")</f>
        <v>-0.9</v>
      </c>
      <c r="H17" s="68" t="n">
        <f aca="false">IF(ISNUMBER('Position PL Tracker'!Q18),'Position PL Tracker'!$C18*'Position PL Tracker'!Q18*10000,"—")</f>
        <v>-1.98</v>
      </c>
      <c r="I17" s="68" t="n">
        <f aca="false">IF(ISNUMBER('Position PL Tracker'!S18),'Position PL Tracker'!$C18*'Position PL Tracker'!S18*10000,"—")</f>
        <v>-2.88</v>
      </c>
      <c r="J17" s="68" t="n">
        <f aca="false">IF(ISNUMBER('Position PL Tracker'!U18),'Position PL Tracker'!$C18*'Position PL Tracker'!U18*10000,"—")</f>
        <v>-3.78</v>
      </c>
      <c r="K17" s="68" t="n">
        <f aca="false">IF(ISNUMBER('Position PL Tracker'!W18),'Position PL Tracker'!$C18*'Position PL Tracker'!W18*10000,"—")</f>
        <v>-3.54</v>
      </c>
    </row>
    <row r="18" customFormat="false" ht="15" hidden="false" customHeight="true" outlineLevel="0" collapsed="false">
      <c r="A18" s="66" t="s">
        <v>63</v>
      </c>
      <c r="B18" s="67" t="str">
        <f aca="false">IF(ISNUMBER('Position PL Tracker'!E19),'Position PL Tracker'!$C19*'Position PL Tracker'!E19*10000,"—")</f>
        <v>—</v>
      </c>
      <c r="C18" s="68" t="n">
        <f aca="false">IF(ISNUMBER('Position PL Tracker'!G19),'Position PL Tracker'!$C19*'Position PL Tracker'!G19*10000,"—")</f>
        <v>0.18</v>
      </c>
      <c r="D18" s="68" t="n">
        <f aca="false">IF(ISNUMBER('Position PL Tracker'!I19),'Position PL Tracker'!$C19*'Position PL Tracker'!I19*10000,"—")</f>
        <v>0.27</v>
      </c>
      <c r="E18" s="68" t="n">
        <f aca="false">IF(ISNUMBER('Position PL Tracker'!K19),'Position PL Tracker'!$C19*'Position PL Tracker'!K19*10000,"—")</f>
        <v>-0.63</v>
      </c>
      <c r="F18" s="68" t="n">
        <f aca="false">IF(ISNUMBER('Position PL Tracker'!M19),'Position PL Tracker'!$C19*'Position PL Tracker'!M19*10000,"—")</f>
        <v>-0.315</v>
      </c>
      <c r="G18" s="68" t="n">
        <f aca="false">IF(ISNUMBER('Position PL Tracker'!O19),'Position PL Tracker'!$C19*'Position PL Tracker'!O19*10000,"—")</f>
        <v>-0.135</v>
      </c>
      <c r="H18" s="68" t="n">
        <f aca="false">IF(ISNUMBER('Position PL Tracker'!Q19),'Position PL Tracker'!$C19*'Position PL Tracker'!Q19*10000,"—")</f>
        <v>0.045</v>
      </c>
      <c r="I18" s="68" t="n">
        <f aca="false">IF(ISNUMBER('Position PL Tracker'!S19),'Position PL Tracker'!$C19*'Position PL Tracker'!S19*10000,"—")</f>
        <v>0.09</v>
      </c>
      <c r="J18" s="68" t="n">
        <f aca="false">IF(ISNUMBER('Position PL Tracker'!U19),'Position PL Tracker'!$C19*'Position PL Tracker'!U19*10000,"—")</f>
        <v>0.09</v>
      </c>
      <c r="K18" s="68" t="n">
        <f aca="false">IF(ISNUMBER('Position PL Tracker'!W19),'Position PL Tracker'!$C19*'Position PL Tracker'!W19*10000,"—")</f>
        <v>0</v>
      </c>
    </row>
    <row r="20" customFormat="false" ht="15" hidden="false" customHeight="true" outlineLevel="0" collapsed="false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</row>
    <row r="21" customFormat="false" ht="15" hidden="false" customHeight="true" outlineLevel="0" collapsed="false">
      <c r="A21" s="70" t="s">
        <v>77</v>
      </c>
      <c r="B21" s="71" t="n">
        <f aca="false">SUM(B3:B14)</f>
        <v>35.485</v>
      </c>
      <c r="C21" s="71" t="n">
        <f aca="false">SUM(C3:C14)</f>
        <v>-149.9</v>
      </c>
      <c r="D21" s="71" t="n">
        <f aca="false">SUM(D3:D14)</f>
        <v>-170.31</v>
      </c>
      <c r="E21" s="71" t="n">
        <f aca="false">SUM(E3:E14)</f>
        <v>-141.98</v>
      </c>
      <c r="F21" s="71" t="n">
        <f aca="false">SUM(F3:F14)</f>
        <v>78.815</v>
      </c>
      <c r="G21" s="71" t="n">
        <f aca="false">SUM(G3:G14)</f>
        <v>136.755</v>
      </c>
      <c r="H21" s="71" t="n">
        <f aca="false">SUM(H3:H14)</f>
        <v>204.725</v>
      </c>
      <c r="I21" s="71" t="n">
        <f aca="false">SUM(I3:I14)</f>
        <v>286.405</v>
      </c>
      <c r="J21" s="71" t="n">
        <f aca="false">SUM(J3:J14)</f>
        <v>213.43</v>
      </c>
      <c r="K21" s="71" t="n">
        <f aca="false">SUM(K3:K14)</f>
        <v>235.8</v>
      </c>
    </row>
    <row r="22" customFormat="false" ht="23.25" hidden="false" customHeight="true" outlineLevel="0" collapsed="false">
      <c r="A22" s="70" t="s">
        <v>78</v>
      </c>
      <c r="B22" s="71" t="n">
        <f aca="false">SUM(B15:B18)</f>
        <v>0</v>
      </c>
      <c r="C22" s="71" t="n">
        <f aca="false">SUM(C15:C18)</f>
        <v>-6.96</v>
      </c>
      <c r="D22" s="71" t="n">
        <f aca="false">SUM(D15:D18)</f>
        <v>-9.07</v>
      </c>
      <c r="E22" s="71" t="n">
        <f aca="false">SUM(E15:E18)</f>
        <v>-18.05</v>
      </c>
      <c r="F22" s="71" t="n">
        <f aca="false">SUM(F15:F18)</f>
        <v>-11.115</v>
      </c>
      <c r="G22" s="71" t="n">
        <f aca="false">SUM(G15:G18)</f>
        <v>-11.835</v>
      </c>
      <c r="H22" s="71" t="n">
        <f aca="false">SUM(H15:H18)</f>
        <v>-16.915</v>
      </c>
      <c r="I22" s="71" t="n">
        <f aca="false">SUM(I15:I18)</f>
        <v>-20.59</v>
      </c>
      <c r="J22" s="71" t="n">
        <f aca="false">SUM(J15:J18)</f>
        <v>-23.07</v>
      </c>
      <c r="K22" s="71" t="n">
        <f aca="false">SUM(K15:K18)</f>
        <v>-26.62</v>
      </c>
    </row>
    <row r="23" customFormat="false" ht="15" hidden="false" customHeight="true" outlineLevel="0" collapsed="false">
      <c r="A23" s="72" t="s">
        <v>79</v>
      </c>
      <c r="B23" s="73" t="n">
        <f aca="false">B21+B22</f>
        <v>35.485</v>
      </c>
      <c r="C23" s="73" t="n">
        <f aca="false">C21+C22</f>
        <v>-156.86</v>
      </c>
      <c r="D23" s="73" t="n">
        <f aca="false">D21+D22</f>
        <v>-179.38</v>
      </c>
      <c r="E23" s="73" t="n">
        <f aca="false">E21+E22</f>
        <v>-160.03</v>
      </c>
      <c r="F23" s="73" t="n">
        <f aca="false">F21+F22</f>
        <v>67.7</v>
      </c>
      <c r="G23" s="73" t="n">
        <f aca="false">G21+G22</f>
        <v>124.92</v>
      </c>
      <c r="H23" s="73" t="n">
        <f aca="false">H21+H22</f>
        <v>187.81</v>
      </c>
      <c r="I23" s="73" t="n">
        <f aca="false">I21+I22</f>
        <v>265.815</v>
      </c>
      <c r="J23" s="73" t="n">
        <f aca="false">J21+J22</f>
        <v>190.36</v>
      </c>
      <c r="K23" s="73" t="n">
        <f aca="false">K21+K22</f>
        <v>209.18</v>
      </c>
    </row>
    <row r="24" customFormat="false" ht="15" hidden="false" customHeight="true" outlineLevel="0" collapsed="false">
      <c r="A24" s="74" t="s">
        <v>80</v>
      </c>
      <c r="B24" s="75" t="str">
        <f aca="false">INDEX('Position PL Tracker'!$A$4:$A$19,MATCH(MAX('Position PL Tracker'!E$4:E$19),'Position PL Tracker'!E$4:E$19,0))&amp;" ("&amp;TEXT(MAX('Position PL Tracker'!E$4:E$19),"0.00%")&amp;")"</f>
        <v>DAL (7.02%)</v>
      </c>
      <c r="C24" s="75" t="str">
        <f aca="false">INDEX('Position PL Tracker'!$A$4:$A$19,MATCH(MAX('Position PL Tracker'!G$4:G$19),'Position PL Tracker'!G$4:G$19,0))&amp;" ("&amp;TEXT(MAX('Position PL Tracker'!G$4:G$19),"0.00%")&amp;")"</f>
        <v>XLF (3.50%)</v>
      </c>
      <c r="D24" s="75" t="str">
        <f aca="false">INDEX('Position PL Tracker'!$A$4:$A$19,MATCH(MAX('Position PL Tracker'!I$4:I$19),'Position PL Tracker'!I$4:I$19,0))&amp;" ("&amp;TEXT(MAX('Position PL Tracker'!I$4:I$19),"0.00%")&amp;")"</f>
        <v>MSFT (9.80%)</v>
      </c>
      <c r="E24" s="75" t="str">
        <f aca="false">INDEX('Position PL Tracker'!$A$4:$A$19,MATCH(MAX('Position PL Tracker'!K$4:K$19),'Position PL Tracker'!K$4:K$19,0))&amp;" ("&amp;TEXT(MAX('Position PL Tracker'!K$4:K$19),"0.00%")&amp;")"</f>
        <v>AAPL (16.33%)</v>
      </c>
      <c r="F24" s="75" t="str">
        <f aca="false">INDEX('Position PL Tracker'!$A$4:$A$19,MATCH(MAX('Position PL Tracker'!M$4:M$19),'Position PL Tracker'!M$4:M$19,0))&amp;" ("&amp;TEXT(MAX('Position PL Tracker'!M$4:M$19),"0.00%")&amp;")"</f>
        <v>AAPL (20.32%)</v>
      </c>
      <c r="G24" s="75" t="str">
        <f aca="false">INDEX('Position PL Tracker'!$A$4:$A$19,MATCH(MAX('Position PL Tracker'!O$4:O$19),'Position PL Tracker'!O$4:O$19,0))&amp;" ("&amp;TEXT(MAX('Position PL Tracker'!O$4:O$19),"0.00%")&amp;")"</f>
        <v>AAPL (21.31%)</v>
      </c>
      <c r="H24" s="75" t="str">
        <f aca="false">INDEX('Position PL Tracker'!$A$4:$A$19,MATCH(MAX('Position PL Tracker'!Q$4:Q$19),'Position PL Tracker'!Q$4:Q$19,0))&amp;" ("&amp;TEXT(MAX('Position PL Tracker'!Q$4:Q$19),"0.00%")&amp;")"</f>
        <v>MSFT (30.21%)</v>
      </c>
      <c r="I24" s="75" t="str">
        <f aca="false">INDEX('Position PL Tracker'!$A$4:$A$19,MATCH(MAX('Position PL Tracker'!S$4:S$19),'Position PL Tracker'!S$4:S$19,0))&amp;" ("&amp;TEXT(MAX('Position PL Tracker'!S$4:S$19),"0.00%")&amp;")"</f>
        <v>MSFT (32.52%)</v>
      </c>
      <c r="J24" s="75" t="str">
        <f aca="false">INDEX('Position PL Tracker'!$A$4:$A$19,MATCH(MAX('Position PL Tracker'!U$4:U$19),'Position PL Tracker'!U$4:U$19,0))&amp;" ("&amp;TEXT(MAX('Position PL Tracker'!U$4:U$19),"0.00%")&amp;")"</f>
        <v>MSFT (34.49%)</v>
      </c>
      <c r="K24" s="75" t="str">
        <f aca="false">INDEX('Position PL Tracker'!$A$4:$A$19,MATCH(MAX('Position PL Tracker'!W$4:W$19),'Position PL Tracker'!W$4:W$19,0))&amp;" ("&amp;TEXT(MAX('Position PL Tracker'!W$4:W$19),"0.00%")&amp;")"</f>
        <v>MSFT (35.77%)</v>
      </c>
    </row>
    <row r="26" customFormat="false" ht="15" hidden="false" customHeight="true" outlineLevel="0" collapsed="false">
      <c r="A26" s="74" t="s">
        <v>81</v>
      </c>
      <c r="B26" s="76" t="str">
        <f aca="false">INDEX('Position PL Tracker'!$A$4:$A$19,MATCH(MIN('Position PL Tracker'!E$4:E$19),'Position PL Tracker'!E$4:E$19,0))&amp;" ("&amp;TEXT(MIN('Position PL Tracker'!E$4:E$19),"0.00%")&amp;")"</f>
        <v>SPY (-1.06%)</v>
      </c>
      <c r="C26" s="76" t="str">
        <f aca="false">INDEX('Position PL Tracker'!$A$4:$A$19,MATCH(MIN('Position PL Tracker'!G$4:G$19),'Position PL Tracker'!G$4:G$19,0))&amp;" ("&amp;TEXT(MIN('Position PL Tracker'!G$4:G$19),"0.00%")&amp;")"</f>
        <v>SPCX (-22.70%)</v>
      </c>
      <c r="D26" s="76" t="str">
        <f aca="false">INDEX('Position PL Tracker'!$A$4:$A$19,MATCH(MIN('Position PL Tracker'!I$4:I$19),'Position PL Tracker'!I$4:I$19,0))&amp;" ("&amp;TEXT(MIN('Position PL Tracker'!I$4:I$19),"0.00%")&amp;")"</f>
        <v>SPCX (-23.08%)</v>
      </c>
      <c r="E26" s="76" t="str">
        <f aca="false">INDEX('Position PL Tracker'!$A$4:$A$19,MATCH(MIN('Position PL Tracker'!K$4:K$19),'Position PL Tracker'!K$4:K$19,0))&amp;" ("&amp;TEXT(MIN('Position PL Tracker'!K$4:K$19),"0.00%")&amp;")"</f>
        <v>SPCX (-21.11%)</v>
      </c>
      <c r="F26" s="76" t="str">
        <f aca="false">INDEX('Position PL Tracker'!$A$4:$A$19,MATCH(MIN('Position PL Tracker'!M$4:M$19),'Position PL Tracker'!M$4:M$19,0))&amp;" ("&amp;TEXT(MIN('Position PL Tracker'!M$4:M$19),"0.00%")&amp;")"</f>
        <v>SPCX (-18.27%)</v>
      </c>
      <c r="G26" s="76" t="str">
        <f aca="false">INDEX('Position PL Tracker'!$A$4:$A$19,MATCH(MIN('Position PL Tracker'!O$4:O$19),'Position PL Tracker'!O$4:O$19,0))&amp;" ("&amp;TEXT(MIN('Position PL Tracker'!O$4:O$19),"0.00%")&amp;")"</f>
        <v>SPCX (-19.13%)</v>
      </c>
      <c r="H26" s="76" t="str">
        <f aca="false">INDEX('Position PL Tracker'!$A$4:$A$19,MATCH(MIN('Position PL Tracker'!Q$4:Q$19),'Position PL Tracker'!Q$4:Q$19,0))&amp;" ("&amp;TEXT(MIN('Position PL Tracker'!Q$4:Q$19),"0.00%")&amp;")"</f>
        <v>SPCX (-15.36%)</v>
      </c>
      <c r="I26" s="76" t="str">
        <f aca="false">INDEX('Position PL Tracker'!$A$4:$A$19,MATCH(MIN('Position PL Tracker'!S$4:S$19),'Position PL Tracker'!S$4:S$19,0))&amp;" ("&amp;TEXT(MIN('Position PL Tracker'!S$4:S$19),"0.00%")&amp;")"</f>
        <v>SPCX (-12.55%)</v>
      </c>
      <c r="J26" s="76" t="str">
        <f aca="false">INDEX('Position PL Tracker'!$A$4:$A$19,MATCH(MIN('Position PL Tracker'!U$4:U$19),'Position PL Tracker'!U$4:U$19,0))&amp;" ("&amp;TEXT(MIN('Position PL Tracker'!U$4:U$19),"0.00%")&amp;")"</f>
        <v>SPCX (-11.42%)</v>
      </c>
      <c r="K26" s="76" t="str">
        <f aca="false">INDEX('Position PL Tracker'!$A$4:$A$19,MATCH(MIN('Position PL Tracker'!W$4:W$19),'Position PL Tracker'!W$4:W$19,0))&amp;" ("&amp;TEXT(MIN('Position PL Tracker'!W$4:W$19),"0.00%")&amp;")"</f>
        <v>WMT (-11.32%)</v>
      </c>
    </row>
  </sheetData>
  <mergeCells count="2">
    <mergeCell ref="A1:K1"/>
    <mergeCell ref="A20:K20"/>
  </mergeCells>
  <conditionalFormatting sqref="B3:K1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  <cfRule type="cellIs" priority="4" operator="equal" aboveAverage="0" equalAverage="0" bottom="0" percent="0" rank="0" text="" dxfId="2">
      <formula>"—"</formula>
    </cfRule>
  </conditionalFormatting>
  <conditionalFormatting sqref="B21:K22">
    <cfRule type="cellIs" priority="5" operator="lessThan" aboveAverage="0" equalAverage="0" bottom="0" percent="0" rank="0" text="" dxfId="0">
      <formula>0</formula>
    </cfRule>
    <cfRule type="cellIs" priority="6" operator="greaterThan" aboveAverage="0" equalAverage="0" bottom="0" percent="0" rank="0" text="" dxfId="1">
      <formula>0</formula>
    </cfRule>
    <cfRule type="cellIs" priority="7" operator="equal" aboveAverage="0" equalAverage="0" bottom="0" percent="0" rank="0" text="" dxfId="2">
      <formula>"—"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6" min="3" style="1" width="18"/>
    <col collapsed="false" customWidth="true" hidden="false" outlineLevel="0" max="7" min="7" style="1" width="20"/>
    <col collapsed="false" customWidth="true" hidden="false" outlineLevel="0" max="8" min="8" style="1" width="22"/>
  </cols>
  <sheetData>
    <row r="1" customFormat="false" ht="27.75" hidden="false" customHeight="true" outlineLevel="0" collapsed="false">
      <c r="A1" s="77" t="s">
        <v>82</v>
      </c>
      <c r="B1" s="77"/>
      <c r="C1" s="77"/>
      <c r="D1" s="77"/>
      <c r="E1" s="77"/>
      <c r="F1" s="77"/>
      <c r="G1" s="77"/>
      <c r="H1" s="77"/>
    </row>
    <row r="3" customFormat="false" ht="27.75" hidden="false" customHeight="true" outlineLevel="0" collapsed="false">
      <c r="A3" s="78" t="s">
        <v>83</v>
      </c>
      <c r="B3" s="78"/>
      <c r="C3" s="78"/>
      <c r="D3" s="78"/>
      <c r="E3" s="78"/>
      <c r="F3" s="78"/>
      <c r="G3" s="78"/>
      <c r="H3" s="78"/>
    </row>
    <row r="8" customFormat="false" ht="27.75" hidden="false" customHeight="true" outlineLevel="0" collapsed="false">
      <c r="A8" s="79" t="s">
        <v>84</v>
      </c>
      <c r="B8" s="79"/>
      <c r="C8" s="79"/>
      <c r="D8" s="79"/>
      <c r="E8" s="79"/>
      <c r="F8" s="79"/>
      <c r="G8" s="79"/>
      <c r="H8" s="79"/>
    </row>
    <row r="9" customFormat="false" ht="23.25" hidden="false" customHeight="true" outlineLevel="0" collapsed="false">
      <c r="A9" s="12" t="s">
        <v>85</v>
      </c>
      <c r="B9" s="12" t="s">
        <v>23</v>
      </c>
      <c r="C9" s="12" t="s">
        <v>24</v>
      </c>
      <c r="D9" s="12" t="s">
        <v>86</v>
      </c>
      <c r="E9" s="12" t="s">
        <v>87</v>
      </c>
      <c r="F9" s="12" t="s">
        <v>88</v>
      </c>
      <c r="G9" s="12" t="s">
        <v>89</v>
      </c>
      <c r="H9" s="12" t="s">
        <v>90</v>
      </c>
    </row>
    <row r="10" customFormat="false" ht="15" hidden="false" customHeight="true" outlineLevel="0" collapsed="false">
      <c r="A10" s="80" t="n">
        <v>1</v>
      </c>
      <c r="B10" s="13" t="s">
        <v>27</v>
      </c>
      <c r="C10" s="14" t="n">
        <f aca="false">'Portfolio Overview'!B13</f>
        <v>100445907.73</v>
      </c>
      <c r="D10" s="81" t="n">
        <f aca="false">(C10-100000000)/100000000</f>
        <v>0.00445907730000004</v>
      </c>
      <c r="E10" s="82" t="s">
        <v>91</v>
      </c>
      <c r="F10" s="83" t="n">
        <f aca="false">IFERROR((D10-E10)*10000,0)</f>
        <v>0</v>
      </c>
      <c r="G10" s="81" t="n">
        <f aca="false">(C10-100000000)/100000000</f>
        <v>0.00445907730000004</v>
      </c>
      <c r="H10" s="81" t="str">
        <f aca="false">IFERROR(E10,0)</f>
        <v>[fill]</v>
      </c>
    </row>
    <row r="11" customFormat="false" ht="15" hidden="false" customHeight="true" outlineLevel="0" collapsed="false">
      <c r="A11" s="80" t="n">
        <v>2</v>
      </c>
      <c r="B11" s="16" t="s">
        <v>28</v>
      </c>
      <c r="C11" s="17" t="n">
        <f aca="false">'Portfolio Overview'!B14</f>
        <v>100736415.3</v>
      </c>
      <c r="D11" s="84" t="n">
        <f aca="false">(C11-C10)/C10</f>
        <v>0.00289217924916246</v>
      </c>
      <c r="E11" s="82" t="s">
        <v>91</v>
      </c>
      <c r="F11" s="85" t="n">
        <f aca="false">IFERROR((D11-E11)*10000,0)</f>
        <v>0</v>
      </c>
      <c r="G11" s="84" t="n">
        <f aca="false">(C11-100000000)/100000000</f>
        <v>0.00736415299999997</v>
      </c>
      <c r="H11" s="84" t="n">
        <f aca="false">IFERROR((1+H10)*(1+E11)-1,0)</f>
        <v>0</v>
      </c>
    </row>
    <row r="12" customFormat="false" ht="15" hidden="false" customHeight="true" outlineLevel="0" collapsed="false">
      <c r="A12" s="80" t="n">
        <v>3</v>
      </c>
      <c r="B12" s="13" t="s">
        <v>29</v>
      </c>
      <c r="C12" s="14" t="n">
        <f aca="false">'Portfolio Overview'!B15</f>
        <v>100771209</v>
      </c>
      <c r="D12" s="81" t="n">
        <f aca="false">(C12-C11)/C11</f>
        <v>0.000345393469644368</v>
      </c>
      <c r="E12" s="82" t="s">
        <v>91</v>
      </c>
      <c r="F12" s="83" t="n">
        <f aca="false">IFERROR((D12-E12)*10000,0)</f>
        <v>0</v>
      </c>
      <c r="G12" s="81" t="n">
        <f aca="false">(C12-100000000)/100000000</f>
        <v>0.00771209</v>
      </c>
      <c r="H12" s="81" t="n">
        <f aca="false">IFERROR((1+H11)*(1+E12)-1,0)</f>
        <v>0</v>
      </c>
    </row>
    <row r="13" customFormat="false" ht="15" hidden="false" customHeight="true" outlineLevel="0" collapsed="false">
      <c r="A13" s="80" t="n">
        <v>4</v>
      </c>
      <c r="B13" s="16" t="s">
        <v>30</v>
      </c>
      <c r="C13" s="17" t="n">
        <f aca="false">'Portfolio Overview'!B16</f>
        <v>98090804.66</v>
      </c>
      <c r="D13" s="84" t="n">
        <f aca="false">(C13-C12)/C12</f>
        <v>-0.0265989102105543</v>
      </c>
      <c r="E13" s="82" t="s">
        <v>91</v>
      </c>
      <c r="F13" s="85" t="n">
        <f aca="false">IFERROR((D13-E13)*10000,0)</f>
        <v>0</v>
      </c>
      <c r="G13" s="84" t="n">
        <f aca="false">(C13-100000000)/100000000</f>
        <v>-0.0190919534</v>
      </c>
      <c r="H13" s="84" t="n">
        <f aca="false">IFERROR((1+H12)*(1+E13)-1,0)</f>
        <v>0</v>
      </c>
    </row>
    <row r="14" customFormat="false" ht="15" hidden="false" customHeight="true" outlineLevel="0" collapsed="false">
      <c r="A14" s="80" t="n">
        <v>5</v>
      </c>
      <c r="B14" s="13" t="s">
        <v>31</v>
      </c>
      <c r="C14" s="14" t="n">
        <f aca="false">'Portfolio Overview'!B17</f>
        <v>98978520</v>
      </c>
      <c r="D14" s="81" t="n">
        <f aca="false">(C14-C13)/C13</f>
        <v>0.00904993432439444</v>
      </c>
      <c r="E14" s="82" t="s">
        <v>91</v>
      </c>
      <c r="F14" s="83" t="n">
        <f aca="false">IFERROR((D14-E14)*10000,0)</f>
        <v>0</v>
      </c>
      <c r="G14" s="81" t="n">
        <f aca="false">(C14-100000000)/100000000</f>
        <v>-0.0102148</v>
      </c>
      <c r="H14" s="81" t="n">
        <f aca="false">IFERROR((1+H13)*(1+E14)-1,0)</f>
        <v>0</v>
      </c>
    </row>
    <row r="15" customFormat="false" ht="15" hidden="false" customHeight="true" outlineLevel="0" collapsed="false">
      <c r="A15" s="80" t="n">
        <v>6</v>
      </c>
      <c r="B15" s="16" t="s">
        <v>32</v>
      </c>
      <c r="C15" s="17" t="n">
        <f aca="false">'Portfolio Overview'!B18</f>
        <v>100923640</v>
      </c>
      <c r="D15" s="84" t="n">
        <f aca="false">(C15-C14)/C14</f>
        <v>0.019651940643283</v>
      </c>
      <c r="E15" s="82" t="s">
        <v>91</v>
      </c>
      <c r="F15" s="85" t="n">
        <f aca="false">IFERROR((D15-E15)*10000,0)</f>
        <v>0</v>
      </c>
      <c r="G15" s="84" t="n">
        <f aca="false">(C15-100000000)/100000000</f>
        <v>0.0092364</v>
      </c>
      <c r="H15" s="84" t="n">
        <f aca="false">IFERROR((1+H14)*(1+E15)-1,0)</f>
        <v>0</v>
      </c>
    </row>
    <row r="16" customFormat="false" ht="15" hidden="false" customHeight="true" outlineLevel="0" collapsed="false">
      <c r="A16" s="80" t="n">
        <v>7</v>
      </c>
      <c r="B16" s="13" t="s">
        <v>33</v>
      </c>
      <c r="C16" s="14" t="n">
        <f aca="false">'Portfolio Overview'!B19</f>
        <v>103697680</v>
      </c>
      <c r="D16" s="81" t="n">
        <f aca="false">(C16-C15)/C15</f>
        <v>0.0274865234745794</v>
      </c>
      <c r="E16" s="82" t="s">
        <v>91</v>
      </c>
      <c r="F16" s="83" t="n">
        <f aca="false">IFERROR((D16-E16)*10000,0)</f>
        <v>0</v>
      </c>
      <c r="G16" s="81" t="n">
        <f aca="false">(C16-100000000)/100000000</f>
        <v>0.0369768</v>
      </c>
      <c r="H16" s="81" t="n">
        <f aca="false">IFERROR((1+H15)*(1+E16)-1,0)</f>
        <v>0</v>
      </c>
    </row>
    <row r="17" customFormat="false" ht="15" hidden="false" customHeight="true" outlineLevel="0" collapsed="false">
      <c r="A17" s="80" t="n">
        <v>8</v>
      </c>
      <c r="B17" s="16" t="s">
        <v>34</v>
      </c>
      <c r="C17" s="17" t="n">
        <f aca="false">'Portfolio Overview'!B20</f>
        <v>105174120</v>
      </c>
      <c r="D17" s="84" t="n">
        <f aca="false">(C17-C16)/C16</f>
        <v>0.0142379270201609</v>
      </c>
      <c r="E17" s="82" t="s">
        <v>91</v>
      </c>
      <c r="F17" s="85" t="n">
        <f aca="false">IFERROR((D17-E17)*10000,0)</f>
        <v>0</v>
      </c>
      <c r="G17" s="84" t="n">
        <f aca="false">(C17-100000000)/100000000</f>
        <v>0.0517412</v>
      </c>
      <c r="H17" s="84" t="n">
        <f aca="false">IFERROR((1+H16)*(1+E17)-1,0)</f>
        <v>0</v>
      </c>
    </row>
    <row r="18" customFormat="false" ht="15" hidden="false" customHeight="true" outlineLevel="0" collapsed="false">
      <c r="A18" s="80" t="n">
        <v>9</v>
      </c>
      <c r="B18" s="13" t="s">
        <v>35</v>
      </c>
      <c r="C18" s="14" t="n">
        <f aca="false">'Portfolio Overview'!B21</f>
        <v>103154120</v>
      </c>
      <c r="D18" s="81" t="n">
        <f aca="false">(C18-C17)/C17</f>
        <v>-0.0192062457950682</v>
      </c>
      <c r="E18" s="82" t="s">
        <v>91</v>
      </c>
      <c r="F18" s="83" t="n">
        <f aca="false">IFERROR((D18-E18)*10000,0)</f>
        <v>0</v>
      </c>
      <c r="G18" s="81" t="n">
        <f aca="false">(C18-100000000)/100000000</f>
        <v>0.0315412</v>
      </c>
      <c r="H18" s="81" t="n">
        <f aca="false">IFERROR((1+H17)*(1+E18)-1,0)</f>
        <v>0</v>
      </c>
    </row>
    <row r="19" customFormat="false" ht="15" hidden="false" customHeight="true" outlineLevel="0" collapsed="false">
      <c r="A19" s="80" t="n">
        <v>10</v>
      </c>
      <c r="B19" s="16" t="s">
        <v>36</v>
      </c>
      <c r="C19" s="17" t="n">
        <f aca="false">'Portfolio Overview'!B22</f>
        <v>102910110</v>
      </c>
      <c r="D19" s="84" t="n">
        <f aca="false">(C19-C18)/C18</f>
        <v>-0.00236548961883442</v>
      </c>
      <c r="E19" s="82" t="s">
        <v>91</v>
      </c>
      <c r="F19" s="85" t="n">
        <f aca="false">IFERROR((D19-E19)*10000,0)</f>
        <v>0</v>
      </c>
      <c r="G19" s="84" t="n">
        <f aca="false">(C19-100000000)/100000000</f>
        <v>0.0291011</v>
      </c>
      <c r="H19" s="84" t="n">
        <f aca="false">IFERROR((1+H18)*(1+E19)-1,0)</f>
        <v>0</v>
      </c>
    </row>
    <row r="21" customFormat="false" ht="27.75" hidden="false" customHeight="true" outlineLevel="0" collapsed="false">
      <c r="A21" s="3" t="s">
        <v>92</v>
      </c>
      <c r="B21" s="3"/>
      <c r="C21" s="3"/>
      <c r="D21" s="3"/>
      <c r="E21" s="3"/>
      <c r="F21" s="3"/>
      <c r="G21" s="3"/>
      <c r="H21" s="3"/>
    </row>
    <row r="22" customFormat="false" ht="21.75" hidden="false" customHeight="true" outlineLevel="0" collapsed="false">
      <c r="B22" s="86" t="s">
        <v>93</v>
      </c>
      <c r="C22" s="87" t="n">
        <f aca="false">IFERROR(((AVERAGE(D10:D19)-4%/52)*52)/(STDEV(D10:D19)*SQRT(52)),0)</f>
        <v>0.973498398521585</v>
      </c>
      <c r="D22" s="88" t="s">
        <v>94</v>
      </c>
    </row>
    <row r="23" customFormat="false" ht="23.25" hidden="false" customHeight="true" outlineLevel="0" collapsed="false">
      <c r="B23" s="89" t="s">
        <v>95</v>
      </c>
      <c r="C23" s="87" t="n">
        <f aca="false">IFERROR((AVERAGE(F10:F19)*52)/(STDEV(F10:F19)*SQRT(52)),0)</f>
        <v>0</v>
      </c>
      <c r="D23" s="88" t="s">
        <v>94</v>
      </c>
    </row>
    <row r="24" customFormat="false" ht="21.75" hidden="false" customHeight="true" outlineLevel="0" collapsed="false">
      <c r="B24" s="86" t="s">
        <v>96</v>
      </c>
      <c r="C24" s="90" t="n">
        <f aca="false">IFERROR(COUNTIF(F10:F19,"&gt;0")/10,0)</f>
        <v>0</v>
      </c>
      <c r="D24" s="88" t="s">
        <v>97</v>
      </c>
    </row>
    <row r="25" customFormat="false" ht="23.25" hidden="false" customHeight="true" outlineLevel="0" collapsed="false">
      <c r="B25" s="89" t="s">
        <v>26</v>
      </c>
      <c r="C25" s="91" t="n">
        <f aca="false">(C19-100000000)/100000000</f>
        <v>0.0291011</v>
      </c>
      <c r="D25" s="88" t="s">
        <v>98</v>
      </c>
    </row>
    <row r="26" customFormat="false" ht="21.75" hidden="false" customHeight="true" outlineLevel="0" collapsed="false">
      <c r="B26" s="86" t="s">
        <v>99</v>
      </c>
      <c r="C26" s="82" t="s">
        <v>100</v>
      </c>
      <c r="D26" s="88" t="s">
        <v>101</v>
      </c>
    </row>
  </sheetData>
  <mergeCells count="4">
    <mergeCell ref="A1:H1"/>
    <mergeCell ref="A3:H3"/>
    <mergeCell ref="A8:H8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22"/>
  </cols>
  <sheetData>
    <row r="1" customFormat="false" ht="27.75" hidden="false" customHeight="true" outlineLevel="0" collapsed="false">
      <c r="A1" s="77" t="s">
        <v>102</v>
      </c>
      <c r="B1" s="77"/>
      <c r="C1" s="77"/>
      <c r="D1" s="77"/>
      <c r="E1" s="77"/>
      <c r="F1" s="77"/>
      <c r="G1" s="77"/>
      <c r="H1" s="77"/>
      <c r="I1" s="77"/>
    </row>
    <row r="3" customFormat="false" ht="27.75" hidden="false" customHeight="true" outlineLevel="0" collapsed="false">
      <c r="A3" s="3" t="s">
        <v>103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12" t="s">
        <v>104</v>
      </c>
      <c r="B4" s="12" t="s">
        <v>105</v>
      </c>
      <c r="C4" s="12" t="s">
        <v>106</v>
      </c>
      <c r="D4" s="12" t="s">
        <v>107</v>
      </c>
      <c r="E4" s="12" t="s">
        <v>108</v>
      </c>
    </row>
    <row r="5" customFormat="false" ht="45.75" hidden="false" customHeight="true" outlineLevel="0" collapsed="false">
      <c r="A5" s="92" t="s">
        <v>109</v>
      </c>
      <c r="B5" s="93" t="s">
        <v>110</v>
      </c>
      <c r="C5" s="93" t="s">
        <v>111</v>
      </c>
      <c r="D5" s="93" t="s">
        <v>112</v>
      </c>
      <c r="E5" s="94" t="s">
        <v>113</v>
      </c>
    </row>
    <row r="6" customFormat="false" ht="34.5" hidden="false" customHeight="true" outlineLevel="0" collapsed="false">
      <c r="A6" s="92" t="s">
        <v>114</v>
      </c>
      <c r="B6" s="93" t="s">
        <v>115</v>
      </c>
      <c r="C6" s="93" t="s">
        <v>116</v>
      </c>
      <c r="D6" s="93" t="s">
        <v>112</v>
      </c>
      <c r="E6" s="94" t="s">
        <v>117</v>
      </c>
    </row>
    <row r="7" customFormat="false" ht="23.25" hidden="false" customHeight="true" outlineLevel="0" collapsed="false">
      <c r="A7" s="92" t="s">
        <v>118</v>
      </c>
      <c r="B7" s="93" t="s">
        <v>119</v>
      </c>
      <c r="C7" s="93" t="s">
        <v>120</v>
      </c>
      <c r="D7" s="93" t="s">
        <v>112</v>
      </c>
      <c r="E7" s="94" t="s">
        <v>121</v>
      </c>
    </row>
    <row r="8" customFormat="false" ht="34.5" hidden="false" customHeight="true" outlineLevel="0" collapsed="false">
      <c r="A8" s="92" t="s">
        <v>122</v>
      </c>
      <c r="B8" s="93" t="s">
        <v>123</v>
      </c>
      <c r="C8" s="93" t="s">
        <v>124</v>
      </c>
      <c r="D8" s="93" t="s">
        <v>112</v>
      </c>
      <c r="E8" s="94" t="s">
        <v>125</v>
      </c>
    </row>
    <row r="9" customFormat="false" ht="45.75" hidden="false" customHeight="true" outlineLevel="0" collapsed="false">
      <c r="A9" s="95" t="s">
        <v>59</v>
      </c>
      <c r="B9" s="96" t="s">
        <v>126</v>
      </c>
      <c r="C9" s="96" t="s">
        <v>127</v>
      </c>
      <c r="D9" s="96" t="s">
        <v>128</v>
      </c>
      <c r="E9" s="97" t="s">
        <v>129</v>
      </c>
    </row>
    <row r="10" customFormat="false" ht="57" hidden="false" customHeight="true" outlineLevel="0" collapsed="false">
      <c r="A10" s="95" t="s">
        <v>61</v>
      </c>
      <c r="B10" s="96" t="s">
        <v>130</v>
      </c>
      <c r="C10" s="96" t="s">
        <v>131</v>
      </c>
      <c r="D10" s="96" t="s">
        <v>128</v>
      </c>
      <c r="E10" s="97" t="s">
        <v>132</v>
      </c>
    </row>
    <row r="11" customFormat="false" ht="45.75" hidden="false" customHeight="true" outlineLevel="0" collapsed="false">
      <c r="A11" s="95" t="s">
        <v>62</v>
      </c>
      <c r="B11" s="96" t="s">
        <v>133</v>
      </c>
      <c r="C11" s="96" t="s">
        <v>134</v>
      </c>
      <c r="D11" s="96" t="s">
        <v>128</v>
      </c>
      <c r="E11" s="97" t="s">
        <v>135</v>
      </c>
    </row>
    <row r="12" customFormat="false" ht="45.75" hidden="false" customHeight="true" outlineLevel="0" collapsed="false">
      <c r="A12" s="95" t="s">
        <v>63</v>
      </c>
      <c r="B12" s="96" t="s">
        <v>136</v>
      </c>
      <c r="C12" s="96" t="s">
        <v>137</v>
      </c>
      <c r="D12" s="96" t="s">
        <v>128</v>
      </c>
      <c r="E12" s="97" t="s">
        <v>138</v>
      </c>
    </row>
    <row r="15" customFormat="false" ht="27.75" hidden="false" customHeight="true" outlineLevel="0" collapsed="false">
      <c r="A15" s="3" t="s">
        <v>139</v>
      </c>
      <c r="B15" s="3"/>
      <c r="C15" s="3"/>
      <c r="D15" s="3"/>
      <c r="E15" s="3"/>
      <c r="F15" s="3"/>
      <c r="G15" s="3"/>
      <c r="H15" s="3"/>
      <c r="I15" s="3"/>
    </row>
    <row r="16" customFormat="false" ht="23.25" hidden="false" customHeight="true" outlineLevel="0" collapsed="false">
      <c r="A16" s="12" t="s">
        <v>140</v>
      </c>
      <c r="B16" s="12" t="s">
        <v>141</v>
      </c>
      <c r="C16" s="12" t="s">
        <v>142</v>
      </c>
      <c r="D16" s="12" t="s">
        <v>143</v>
      </c>
      <c r="E16" s="12" t="s">
        <v>144</v>
      </c>
    </row>
    <row r="17" customFormat="false" ht="21.75" hidden="false" customHeight="true" outlineLevel="0" collapsed="false">
      <c r="A17" s="98" t="s">
        <v>145</v>
      </c>
      <c r="B17" s="98" t="s">
        <v>146</v>
      </c>
      <c r="C17" s="98" t="s">
        <v>147</v>
      </c>
      <c r="D17" s="99" t="s">
        <v>148</v>
      </c>
      <c r="E17" s="99" t="s">
        <v>149</v>
      </c>
    </row>
    <row r="18" customFormat="false" ht="32.25" hidden="false" customHeight="true" outlineLevel="0" collapsed="false">
      <c r="A18" s="100" t="s">
        <v>150</v>
      </c>
      <c r="B18" s="100" t="s">
        <v>151</v>
      </c>
      <c r="C18" s="100" t="s">
        <v>152</v>
      </c>
      <c r="D18" s="99" t="s">
        <v>153</v>
      </c>
      <c r="E18" s="99" t="s">
        <v>154</v>
      </c>
    </row>
    <row r="19" customFormat="false" ht="21.75" hidden="false" customHeight="true" outlineLevel="0" collapsed="false">
      <c r="A19" s="98" t="s">
        <v>155</v>
      </c>
      <c r="B19" s="98" t="s">
        <v>156</v>
      </c>
      <c r="C19" s="98" t="s">
        <v>157</v>
      </c>
      <c r="D19" s="99" t="s">
        <v>158</v>
      </c>
      <c r="E19" s="99" t="s">
        <v>159</v>
      </c>
    </row>
    <row r="20" customFormat="false" ht="21.75" hidden="false" customHeight="true" outlineLevel="0" collapsed="false">
      <c r="A20" s="100" t="s">
        <v>160</v>
      </c>
      <c r="B20" s="100" t="s">
        <v>161</v>
      </c>
      <c r="C20" s="100" t="s">
        <v>161</v>
      </c>
      <c r="D20" s="99" t="s">
        <v>148</v>
      </c>
      <c r="E20" s="99" t="s">
        <v>162</v>
      </c>
    </row>
    <row r="21" customFormat="false" ht="32.25" hidden="false" customHeight="true" outlineLevel="0" collapsed="false">
      <c r="A21" s="98" t="s">
        <v>163</v>
      </c>
      <c r="B21" s="98" t="s">
        <v>164</v>
      </c>
      <c r="C21" s="98" t="s">
        <v>165</v>
      </c>
      <c r="D21" s="99" t="s">
        <v>166</v>
      </c>
      <c r="E21" s="99" t="s">
        <v>167</v>
      </c>
    </row>
    <row r="22" customFormat="false" ht="32.25" hidden="false" customHeight="true" outlineLevel="0" collapsed="false">
      <c r="A22" s="100" t="s">
        <v>168</v>
      </c>
      <c r="B22" s="100" t="s">
        <v>45</v>
      </c>
      <c r="C22" s="100" t="s">
        <v>169</v>
      </c>
      <c r="D22" s="99" t="s">
        <v>170</v>
      </c>
      <c r="E22" s="99" t="s">
        <v>171</v>
      </c>
    </row>
    <row r="23" customFormat="false" ht="32.25" hidden="false" customHeight="true" outlineLevel="0" collapsed="false">
      <c r="A23" s="98" t="s">
        <v>172</v>
      </c>
      <c r="B23" s="98" t="s">
        <v>45</v>
      </c>
      <c r="C23" s="98" t="s">
        <v>173</v>
      </c>
      <c r="D23" s="99" t="s">
        <v>174</v>
      </c>
      <c r="E23" s="99" t="s">
        <v>175</v>
      </c>
    </row>
    <row r="24" customFormat="false" ht="21.75" hidden="false" customHeight="true" outlineLevel="0" collapsed="false">
      <c r="A24" s="100" t="s">
        <v>176</v>
      </c>
      <c r="B24" s="100" t="s">
        <v>177</v>
      </c>
      <c r="C24" s="100" t="s">
        <v>178</v>
      </c>
      <c r="D24" s="99" t="s">
        <v>179</v>
      </c>
      <c r="E24" s="99" t="s">
        <v>180</v>
      </c>
    </row>
  </sheetData>
  <mergeCells count="3">
    <mergeCell ref="A1:I1"/>
    <mergeCell ref="A3:I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77" t="s">
        <v>181</v>
      </c>
      <c r="B1" s="77"/>
      <c r="C1" s="77"/>
      <c r="D1" s="77"/>
      <c r="E1" s="77"/>
      <c r="F1" s="77"/>
    </row>
    <row r="3" customFormat="false" ht="15" hidden="false" customHeight="true" outlineLevel="0" collapsed="false">
      <c r="A3" s="101" t="s">
        <v>182</v>
      </c>
      <c r="B3" s="101"/>
      <c r="C3" s="101"/>
      <c r="D3" s="101"/>
      <c r="E3" s="101"/>
      <c r="F3" s="101"/>
    </row>
    <row r="4" customFormat="false" ht="15" hidden="false" customHeight="true" outlineLevel="0" collapsed="false">
      <c r="A4" s="101"/>
      <c r="B4" s="101"/>
      <c r="C4" s="101"/>
      <c r="D4" s="101"/>
      <c r="E4" s="101"/>
      <c r="F4" s="101"/>
    </row>
    <row r="5" customFormat="false" ht="23.25" hidden="false" customHeight="true" outlineLevel="0" collapsed="false">
      <c r="A5" s="12" t="s">
        <v>85</v>
      </c>
      <c r="B5" s="12" t="s">
        <v>23</v>
      </c>
      <c r="C5" s="12" t="s">
        <v>183</v>
      </c>
      <c r="D5" s="12" t="s">
        <v>184</v>
      </c>
      <c r="E5" s="12" t="s">
        <v>185</v>
      </c>
      <c r="F5" s="12" t="s">
        <v>186</v>
      </c>
    </row>
    <row r="6" customFormat="false" ht="21.75" hidden="false" customHeight="true" outlineLevel="0" collapsed="false">
      <c r="A6" s="80" t="n">
        <v>1</v>
      </c>
      <c r="B6" s="13" t="s">
        <v>27</v>
      </c>
      <c r="C6" s="102" t="s">
        <v>187</v>
      </c>
      <c r="D6" s="102" t="s">
        <v>187</v>
      </c>
      <c r="E6" s="103" t="n">
        <f aca="false">IFERROR(0.6*C6+0.4*D6,0)</f>
        <v>0</v>
      </c>
      <c r="F6" s="104" t="s">
        <v>188</v>
      </c>
    </row>
    <row r="7" customFormat="false" ht="21.75" hidden="false" customHeight="true" outlineLevel="0" collapsed="false">
      <c r="A7" s="80" t="n">
        <v>2</v>
      </c>
      <c r="B7" s="16" t="s">
        <v>28</v>
      </c>
      <c r="C7" s="102" t="s">
        <v>187</v>
      </c>
      <c r="D7" s="102" t="s">
        <v>187</v>
      </c>
      <c r="E7" s="103" t="n">
        <f aca="false">IFERROR(0.6*C7+0.4*D7,0)</f>
        <v>0</v>
      </c>
      <c r="F7" s="105" t="s">
        <v>189</v>
      </c>
    </row>
    <row r="8" customFormat="false" ht="21.75" hidden="false" customHeight="true" outlineLevel="0" collapsed="false">
      <c r="A8" s="80" t="n">
        <v>3</v>
      </c>
      <c r="B8" s="13" t="s">
        <v>29</v>
      </c>
      <c r="C8" s="102" t="s">
        <v>187</v>
      </c>
      <c r="D8" s="102" t="s">
        <v>187</v>
      </c>
      <c r="E8" s="103" t="n">
        <f aca="false">IFERROR(0.6*C8+0.4*D8,0)</f>
        <v>0</v>
      </c>
      <c r="F8" s="104" t="s">
        <v>190</v>
      </c>
    </row>
    <row r="9" customFormat="false" ht="21.75" hidden="false" customHeight="true" outlineLevel="0" collapsed="false">
      <c r="A9" s="80" t="n">
        <v>4</v>
      </c>
      <c r="B9" s="16" t="s">
        <v>30</v>
      </c>
      <c r="C9" s="102" t="s">
        <v>187</v>
      </c>
      <c r="D9" s="102" t="s">
        <v>187</v>
      </c>
      <c r="E9" s="103" t="n">
        <f aca="false">IFERROR(0.6*C9+0.4*D9,0)</f>
        <v>0</v>
      </c>
      <c r="F9" s="105" t="s">
        <v>191</v>
      </c>
    </row>
    <row r="10" customFormat="false" ht="21.75" hidden="false" customHeight="true" outlineLevel="0" collapsed="false">
      <c r="A10" s="80" t="n">
        <v>5</v>
      </c>
      <c r="B10" s="13" t="s">
        <v>31</v>
      </c>
      <c r="C10" s="102" t="s">
        <v>187</v>
      </c>
      <c r="D10" s="102" t="s">
        <v>187</v>
      </c>
      <c r="E10" s="103" t="n">
        <f aca="false">IFERROR(0.6*C10+0.4*D10,0)</f>
        <v>0</v>
      </c>
      <c r="F10" s="104" t="s">
        <v>192</v>
      </c>
    </row>
    <row r="11" customFormat="false" ht="21.75" hidden="false" customHeight="true" outlineLevel="0" collapsed="false">
      <c r="A11" s="80" t="n">
        <v>6</v>
      </c>
      <c r="B11" s="16" t="s">
        <v>32</v>
      </c>
      <c r="C11" s="102" t="s">
        <v>187</v>
      </c>
      <c r="D11" s="102" t="s">
        <v>187</v>
      </c>
      <c r="E11" s="103" t="n">
        <f aca="false">IFERROR(0.6*C11+0.4*D11,0)</f>
        <v>0</v>
      </c>
      <c r="F11" s="105" t="s">
        <v>193</v>
      </c>
    </row>
    <row r="12" customFormat="false" ht="21.75" hidden="false" customHeight="true" outlineLevel="0" collapsed="false">
      <c r="A12" s="80" t="n">
        <v>7</v>
      </c>
      <c r="B12" s="13" t="s">
        <v>33</v>
      </c>
      <c r="C12" s="102" t="s">
        <v>187</v>
      </c>
      <c r="D12" s="102" t="s">
        <v>187</v>
      </c>
      <c r="E12" s="103" t="n">
        <f aca="false">IFERROR(0.6*C12+0.4*D12,0)</f>
        <v>0</v>
      </c>
      <c r="F12" s="104" t="s">
        <v>194</v>
      </c>
    </row>
    <row r="13" customFormat="false" ht="21.75" hidden="false" customHeight="true" outlineLevel="0" collapsed="false">
      <c r="A13" s="80" t="n">
        <v>8</v>
      </c>
      <c r="B13" s="16" t="s">
        <v>34</v>
      </c>
      <c r="C13" s="102" t="s">
        <v>187</v>
      </c>
      <c r="D13" s="102" t="s">
        <v>187</v>
      </c>
      <c r="E13" s="103" t="n">
        <f aca="false">IFERROR(0.6*C13+0.4*D13,0)</f>
        <v>0</v>
      </c>
      <c r="F13" s="105" t="s">
        <v>195</v>
      </c>
    </row>
    <row r="14" customFormat="false" ht="21.75" hidden="false" customHeight="true" outlineLevel="0" collapsed="false">
      <c r="A14" s="80" t="n">
        <v>9</v>
      </c>
      <c r="B14" s="13" t="s">
        <v>35</v>
      </c>
      <c r="C14" s="102" t="s">
        <v>187</v>
      </c>
      <c r="D14" s="102" t="s">
        <v>187</v>
      </c>
      <c r="E14" s="103" t="n">
        <f aca="false">IFERROR(0.6*C14+0.4*D14,0)</f>
        <v>0</v>
      </c>
      <c r="F14" s="104" t="s">
        <v>196</v>
      </c>
    </row>
    <row r="15" customFormat="false" ht="21.75" hidden="false" customHeight="true" outlineLevel="0" collapsed="false">
      <c r="A15" s="80" t="n">
        <v>10</v>
      </c>
      <c r="B15" s="16" t="s">
        <v>36</v>
      </c>
      <c r="C15" s="102" t="s">
        <v>187</v>
      </c>
      <c r="D15" s="102" t="s">
        <v>187</v>
      </c>
      <c r="E15" s="103" t="n">
        <f aca="false">IFERROR(0.6*C15+0.4*D15,0)</f>
        <v>0</v>
      </c>
      <c r="F15" s="105" t="s">
        <v>197</v>
      </c>
    </row>
  </sheetData>
  <mergeCells count="2">
    <mergeCell ref="A1:F1"/>
    <mergeCell ref="A3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21"/>
  </cols>
  <sheetData>
    <row r="1" customFormat="false" ht="27.75" hidden="false" customHeight="true" outlineLevel="0" collapsed="false">
      <c r="A1" s="106" t="s">
        <v>198</v>
      </c>
      <c r="B1" s="106"/>
      <c r="C1" s="106"/>
      <c r="D1" s="106"/>
      <c r="E1" s="106"/>
      <c r="F1" s="106"/>
      <c r="G1" s="106"/>
      <c r="H1" s="106"/>
    </row>
    <row r="3" customFormat="false" ht="27.75" hidden="false" customHeight="true" outlineLevel="0" collapsed="false">
      <c r="A3" s="107" t="s">
        <v>199</v>
      </c>
      <c r="B3" s="107"/>
      <c r="C3" s="107"/>
      <c r="D3" s="107"/>
      <c r="E3" s="107"/>
      <c r="F3" s="107"/>
      <c r="G3" s="107"/>
      <c r="H3" s="107"/>
    </row>
    <row r="4" customFormat="false" ht="43.5" hidden="false" customHeight="true" outlineLevel="0" collapsed="false">
      <c r="A4" s="108" t="s">
        <v>200</v>
      </c>
      <c r="B4" s="109" t="s">
        <v>201</v>
      </c>
      <c r="C4" s="109"/>
      <c r="D4" s="109"/>
      <c r="E4" s="109"/>
      <c r="F4" s="109"/>
      <c r="G4" s="109"/>
      <c r="H4" s="109"/>
    </row>
    <row r="5" customFormat="false" ht="43.5" hidden="false" customHeight="true" outlineLevel="0" collapsed="false">
      <c r="A5" s="108" t="s">
        <v>200</v>
      </c>
      <c r="B5" s="109" t="s">
        <v>202</v>
      </c>
      <c r="C5" s="109"/>
      <c r="D5" s="109"/>
      <c r="E5" s="109"/>
      <c r="F5" s="109"/>
      <c r="G5" s="109"/>
      <c r="H5" s="109"/>
    </row>
    <row r="6" customFormat="false" ht="43.5" hidden="false" customHeight="true" outlineLevel="0" collapsed="false">
      <c r="A6" s="108" t="s">
        <v>203</v>
      </c>
      <c r="B6" s="109" t="s">
        <v>204</v>
      </c>
      <c r="C6" s="109"/>
      <c r="D6" s="109"/>
      <c r="E6" s="109"/>
      <c r="F6" s="109"/>
      <c r="G6" s="109"/>
      <c r="H6" s="109"/>
    </row>
    <row r="7" customFormat="false" ht="43.5" hidden="false" customHeight="true" outlineLevel="0" collapsed="false">
      <c r="A7" s="108" t="s">
        <v>205</v>
      </c>
      <c r="B7" s="109" t="s">
        <v>206</v>
      </c>
      <c r="C7" s="109"/>
      <c r="D7" s="109"/>
      <c r="E7" s="109"/>
      <c r="F7" s="109"/>
      <c r="G7" s="109"/>
      <c r="H7" s="109"/>
    </row>
    <row r="8" customFormat="false" ht="30" hidden="false" customHeight="true" outlineLevel="0" collapsed="false">
      <c r="A8" s="108" t="s">
        <v>207</v>
      </c>
      <c r="B8" s="109" t="s">
        <v>208</v>
      </c>
      <c r="C8" s="109"/>
      <c r="D8" s="109"/>
      <c r="E8" s="109"/>
      <c r="F8" s="109"/>
      <c r="G8" s="109"/>
      <c r="H8" s="109"/>
    </row>
    <row r="9" customFormat="false" ht="30" hidden="false" customHeight="true" outlineLevel="0" collapsed="false">
      <c r="A9" s="108" t="s">
        <v>209</v>
      </c>
      <c r="B9" s="109" t="s">
        <v>210</v>
      </c>
      <c r="C9" s="109"/>
      <c r="D9" s="109"/>
      <c r="E9" s="109"/>
      <c r="F9" s="109"/>
      <c r="G9" s="109"/>
      <c r="H9" s="109"/>
    </row>
    <row r="10" customFormat="false" ht="43.5" hidden="false" customHeight="true" outlineLevel="0" collapsed="false">
      <c r="A10" s="108" t="s">
        <v>211</v>
      </c>
      <c r="B10" s="109" t="s">
        <v>212</v>
      </c>
      <c r="C10" s="109"/>
      <c r="D10" s="109"/>
      <c r="E10" s="109"/>
      <c r="F10" s="109"/>
      <c r="G10" s="109"/>
      <c r="H10" s="109"/>
    </row>
    <row r="12" customFormat="false" ht="27.75" hidden="false" customHeight="true" outlineLevel="0" collapsed="false">
      <c r="A12" s="107" t="s">
        <v>213</v>
      </c>
      <c r="B12" s="107"/>
      <c r="C12" s="107"/>
      <c r="D12" s="107"/>
      <c r="E12" s="107"/>
      <c r="F12" s="107"/>
      <c r="G12" s="107"/>
      <c r="H12" s="107"/>
    </row>
    <row r="13" customFormat="false" ht="30" hidden="false" customHeight="true" outlineLevel="0" collapsed="false">
      <c r="A13" s="110" t="s">
        <v>23</v>
      </c>
      <c r="B13" s="110" t="s">
        <v>214</v>
      </c>
      <c r="C13" s="110" t="s">
        <v>215</v>
      </c>
      <c r="D13" s="110" t="s">
        <v>216</v>
      </c>
      <c r="E13" s="110" t="s">
        <v>217</v>
      </c>
      <c r="F13" s="110" t="s">
        <v>218</v>
      </c>
      <c r="G13" s="110" t="s">
        <v>219</v>
      </c>
      <c r="H13" s="110" t="s">
        <v>220</v>
      </c>
    </row>
    <row r="14" customFormat="false" ht="15" hidden="false" customHeight="false" outlineLevel="0" collapsed="false">
      <c r="A14" s="111" t="s">
        <v>27</v>
      </c>
      <c r="B14" s="112" t="n">
        <v>100445907.73</v>
      </c>
      <c r="C14" s="112" t="n">
        <v>0</v>
      </c>
      <c r="D14" s="113" t="n">
        <f aca="false">B14-C14</f>
        <v>100445907.73</v>
      </c>
      <c r="E14" s="112" t="n">
        <v>63465.16</v>
      </c>
      <c r="F14" s="114" t="n">
        <f aca="false">'Position PL Tracker'!D20</f>
        <v>63465.16</v>
      </c>
      <c r="G14" s="115" t="n">
        <v>39.7</v>
      </c>
      <c r="H14" s="116" t="n">
        <f aca="false">'Attribution Analysis'!B23</f>
        <v>35.485</v>
      </c>
    </row>
    <row r="15" customFormat="false" ht="15" hidden="false" customHeight="false" outlineLevel="0" collapsed="false">
      <c r="A15" s="117" t="s">
        <v>28</v>
      </c>
      <c r="B15" s="118" t="n">
        <v>100571535.3</v>
      </c>
      <c r="C15" s="118" t="n">
        <v>-164880</v>
      </c>
      <c r="D15" s="119" t="n">
        <f aca="false">B15-C15</f>
        <v>100736415.3</v>
      </c>
      <c r="E15" s="118" t="n">
        <v>-1802978.63</v>
      </c>
      <c r="F15" s="120" t="n">
        <f aca="false">'Position PL Tracker'!F20</f>
        <v>-1638098.63</v>
      </c>
      <c r="G15" s="121" t="n">
        <v>-175.6</v>
      </c>
      <c r="H15" s="122" t="n">
        <f aca="false">'Attribution Analysis'!C23</f>
        <v>-156.86</v>
      </c>
    </row>
    <row r="16" customFormat="false" ht="15" hidden="false" customHeight="false" outlineLevel="0" collapsed="false">
      <c r="A16" s="111" t="s">
        <v>29</v>
      </c>
      <c r="B16" s="112" t="n">
        <v>100451369</v>
      </c>
      <c r="C16" s="112" t="n">
        <v>-319840</v>
      </c>
      <c r="D16" s="113" t="n">
        <f aca="false">B16-C16</f>
        <v>100771209</v>
      </c>
      <c r="E16" s="112" t="n">
        <v>-2239297.54</v>
      </c>
      <c r="F16" s="114" t="n">
        <f aca="false">'Position PL Tracker'!H20</f>
        <v>-1919457.54</v>
      </c>
      <c r="G16" s="115" t="n">
        <v>-213.8</v>
      </c>
      <c r="H16" s="116" t="n">
        <f aca="false">'Attribution Analysis'!D23</f>
        <v>-179.38</v>
      </c>
    </row>
    <row r="17" customFormat="false" ht="15" hidden="false" customHeight="false" outlineLevel="0" collapsed="false">
      <c r="A17" s="117" t="s">
        <v>30</v>
      </c>
      <c r="B17" s="118" t="n">
        <v>97586404.66</v>
      </c>
      <c r="C17" s="118" t="n">
        <v>-504400</v>
      </c>
      <c r="D17" s="119" t="n">
        <f aca="false">B17-C17</f>
        <v>98090804.66</v>
      </c>
      <c r="E17" s="118" t="n">
        <v>-2253436.27</v>
      </c>
      <c r="F17" s="120" t="n">
        <f aca="false">'Position PL Tracker'!J20</f>
        <v>-1749036.27</v>
      </c>
      <c r="G17" s="121" t="n">
        <v>-213.8</v>
      </c>
      <c r="H17" s="122" t="n">
        <f aca="false">'Attribution Analysis'!E23</f>
        <v>-160.03</v>
      </c>
    </row>
    <row r="18" customFormat="false" ht="15" hidden="false" customHeight="false" outlineLevel="0" collapsed="false">
      <c r="A18" s="111" t="s">
        <v>31</v>
      </c>
      <c r="B18" s="112" t="n">
        <v>98500000</v>
      </c>
      <c r="C18" s="112" t="n">
        <v>-478520</v>
      </c>
      <c r="D18" s="113" t="n">
        <f aca="false">B18-C18</f>
        <v>98978520</v>
      </c>
      <c r="E18" s="112" t="n">
        <v>117680.47</v>
      </c>
      <c r="F18" s="114" t="n">
        <f aca="false">'Position PL Tracker'!L20</f>
        <v>596200.47</v>
      </c>
      <c r="G18" s="115" t="n">
        <v>8.1</v>
      </c>
      <c r="H18" s="116" t="n">
        <f aca="false">'Attribution Analysis'!F23</f>
        <v>67.7</v>
      </c>
    </row>
    <row r="19" customFormat="false" ht="15" hidden="false" customHeight="false" outlineLevel="0" collapsed="false">
      <c r="A19" s="117" t="s">
        <v>32</v>
      </c>
      <c r="B19" s="118" t="n">
        <v>100450000</v>
      </c>
      <c r="C19" s="118" t="n">
        <v>-473640</v>
      </c>
      <c r="D19" s="119" t="n">
        <f aca="false">B19-C19</f>
        <v>100923640</v>
      </c>
      <c r="E19" s="118" t="n">
        <v>719011.09</v>
      </c>
      <c r="F19" s="120" t="n">
        <f aca="false">'Position PL Tracker'!N20</f>
        <v>1192651.09</v>
      </c>
      <c r="G19" s="121" t="n">
        <v>63.9</v>
      </c>
      <c r="H19" s="122" t="n">
        <f aca="false">'Attribution Analysis'!G23</f>
        <v>124.92</v>
      </c>
    </row>
    <row r="20" customFormat="false" ht="15" hidden="false" customHeight="false" outlineLevel="0" collapsed="false">
      <c r="A20" s="111" t="s">
        <v>33</v>
      </c>
      <c r="B20" s="112" t="n">
        <v>103100000</v>
      </c>
      <c r="C20" s="112" t="n">
        <v>-597680</v>
      </c>
      <c r="D20" s="113" t="n">
        <f aca="false">B20-C20</f>
        <v>103697680</v>
      </c>
      <c r="E20" s="112" t="n">
        <v>1255074.99</v>
      </c>
      <c r="F20" s="114" t="n">
        <f aca="false">'Position PL Tracker'!P20</f>
        <v>1852754.99</v>
      </c>
      <c r="G20" s="115" t="n">
        <v>114.6</v>
      </c>
      <c r="H20" s="116" t="n">
        <f aca="false">'Attribution Analysis'!H23</f>
        <v>187.81</v>
      </c>
    </row>
    <row r="21" customFormat="false" ht="15" hidden="false" customHeight="false" outlineLevel="0" collapsed="false">
      <c r="A21" s="117" t="s">
        <v>34</v>
      </c>
      <c r="B21" s="118" t="n">
        <v>104600000</v>
      </c>
      <c r="C21" s="118" t="n">
        <v>-574120</v>
      </c>
      <c r="D21" s="119" t="n">
        <f aca="false">B21-C21</f>
        <v>105174120</v>
      </c>
      <c r="E21" s="118" t="n">
        <v>2071751.27</v>
      </c>
      <c r="F21" s="120" t="n">
        <f aca="false">'Position PL Tracker'!R20</f>
        <v>2645871.27</v>
      </c>
      <c r="G21" s="121" t="n">
        <v>191.5</v>
      </c>
      <c r="H21" s="122" t="n">
        <f aca="false">'Attribution Analysis'!I23</f>
        <v>265.815</v>
      </c>
    </row>
    <row r="22" customFormat="false" ht="15" hidden="false" customHeight="false" outlineLevel="0" collapsed="false">
      <c r="A22" s="111" t="s">
        <v>35</v>
      </c>
      <c r="B22" s="112" t="n">
        <v>102540000</v>
      </c>
      <c r="C22" s="112" t="n">
        <v>-614120</v>
      </c>
      <c r="D22" s="113" t="n">
        <f aca="false">B22-C22</f>
        <v>103154120</v>
      </c>
      <c r="E22" s="112" t="n">
        <v>1260526.97</v>
      </c>
      <c r="F22" s="114" t="n">
        <f aca="false">'Position PL Tracker'!T20</f>
        <v>1874646.97</v>
      </c>
      <c r="G22" s="115" t="n">
        <v>118.7</v>
      </c>
      <c r="H22" s="116" t="n">
        <f aca="false">'Attribution Analysis'!J23</f>
        <v>190.36</v>
      </c>
    </row>
    <row r="23" customFormat="false" ht="15" hidden="false" customHeight="false" outlineLevel="0" collapsed="false">
      <c r="A23" s="117" t="s">
        <v>36</v>
      </c>
      <c r="B23" s="118" t="n">
        <v>102092110</v>
      </c>
      <c r="C23" s="118" t="n">
        <v>-818000</v>
      </c>
      <c r="D23" s="119" t="n">
        <f aca="false">B23-C23</f>
        <v>102910110</v>
      </c>
      <c r="E23" s="118" t="n">
        <v>1232921.26</v>
      </c>
      <c r="F23" s="120" t="n">
        <f aca="false">'Position PL Tracker'!V20</f>
        <v>2050921.26</v>
      </c>
      <c r="G23" s="121" t="n">
        <v>110.1</v>
      </c>
      <c r="H23" s="122" t="n">
        <f aca="false">'Attribution Analysis'!K23</f>
        <v>209.18</v>
      </c>
    </row>
    <row r="25" customFormat="false" ht="15" hidden="false" customHeight="false" outlineLevel="0" collapsed="false">
      <c r="A25" s="123" t="s">
        <v>221</v>
      </c>
      <c r="B25" s="123"/>
      <c r="C25" s="123"/>
      <c r="D25" s="123"/>
      <c r="E25" s="123"/>
      <c r="F25" s="123"/>
      <c r="G25" s="123"/>
      <c r="H25" s="123"/>
    </row>
  </sheetData>
  <mergeCells count="11">
    <mergeCell ref="A1:H1"/>
    <mergeCell ref="A3:H3"/>
    <mergeCell ref="B4:H4"/>
    <mergeCell ref="B5:H5"/>
    <mergeCell ref="B6:H6"/>
    <mergeCell ref="B7:H7"/>
    <mergeCell ref="B8:H8"/>
    <mergeCell ref="B9:H9"/>
    <mergeCell ref="B10:H10"/>
    <mergeCell ref="A12:H1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2026-08-29T08:46:44Z</dcterms:created>
  <dc:creator>openpyxl</dc:creator>
  <dc:description/>
  <dc:language>en-US</dc:language>
  <cp:lastModifiedBy/>
  <dcterms:modified xsi:type="dcterms:W3CDTF">2026-09-13T07:38:53Z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